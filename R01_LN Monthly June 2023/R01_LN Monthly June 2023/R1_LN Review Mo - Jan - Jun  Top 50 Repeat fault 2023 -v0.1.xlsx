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Work form Home true\Monthly\6 June 2023\"/>
    </mc:Choice>
  </mc:AlternateContent>
  <xr:revisionPtr revIDLastSave="0" documentId="13_ncr:1_{3F9C9D18-B6DD-4148-9803-00C528CDC0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20 Repeat fault cumula" sheetId="1" r:id="rId1"/>
  </sheets>
  <definedNames>
    <definedName name="Action_Team">#REF!</definedName>
    <definedName name="AT_NT">#REF!</definedName>
    <definedName name="CAT_BFKT">#REF!</definedName>
    <definedName name="Cause">#REF!</definedName>
    <definedName name="CodeTeam_OFC">#REF!</definedName>
    <definedName name="Downtime_Region">#REF!</definedName>
    <definedName name="frequency">#REF!</definedName>
    <definedName name="Month">#REF!</definedName>
    <definedName name="Network">#REF!</definedName>
    <definedName name="P_F">#REF!</definedName>
    <definedName name="province">#REF!</definedName>
    <definedName name="Region">#REF!</definedName>
    <definedName name="SA_NSA">#REF!</definedName>
    <definedName name="Site_Effcet">#REF!</definedName>
    <definedName name="Site_ID">#REF!</definedName>
    <definedName name="SLA">#REF!</definedName>
    <definedName name="Sub_Zone">#REF!</definedName>
    <definedName name="Total">#REF!</definedName>
    <definedName name="Wee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B7" i="1" l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6" i="1"/>
  <c r="CB5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6" i="1"/>
  <c r="AT5" i="1"/>
</calcChain>
</file>

<file path=xl/sharedStrings.xml><?xml version="1.0" encoding="utf-8"?>
<sst xmlns="http://schemas.openxmlformats.org/spreadsheetml/2006/main" count="2326" uniqueCount="466">
  <si>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</si>
  <si>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</si>
  <si>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</si>
  <si>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</si>
  <si>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</si>
  <si>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</si>
  <si>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</si>
  <si>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</si>
  <si>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</si>
  <si>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</si>
  <si>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</si>
  <si>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</si>
  <si>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</t>
  </si>
  <si>
    <t>Site ID</t>
  </si>
  <si>
    <t>Location</t>
  </si>
  <si>
    <t>Remark</t>
  </si>
  <si>
    <t>Status</t>
  </si>
  <si>
    <t>PSN6736</t>
  </si>
  <si>
    <t>TAK6726</t>
  </si>
  <si>
    <t>TAK6802</t>
  </si>
  <si>
    <t>TAK1918</t>
  </si>
  <si>
    <t>TAK6820</t>
  </si>
  <si>
    <t>PCT6538</t>
  </si>
  <si>
    <t>TAK6760</t>
  </si>
  <si>
    <t>TAK6903</t>
  </si>
  <si>
    <t>PSN6779</t>
  </si>
  <si>
    <t>PSN6801</t>
  </si>
  <si>
    <t>PSN5502</t>
  </si>
  <si>
    <t>KPP6763</t>
  </si>
  <si>
    <t>UTR6511</t>
  </si>
  <si>
    <t>UTR6528</t>
  </si>
  <si>
    <t>TAK6526</t>
  </si>
  <si>
    <t>TAK7239</t>
  </si>
  <si>
    <t>PSN1942</t>
  </si>
  <si>
    <t>PSN6888</t>
  </si>
  <si>
    <t>PSN6712</t>
  </si>
  <si>
    <t>PCB6730</t>
  </si>
  <si>
    <t>UTR6756</t>
  </si>
  <si>
    <t>UTT6709</t>
  </si>
  <si>
    <t>CNT6731</t>
  </si>
  <si>
    <t>UTR6750</t>
  </si>
  <si>
    <t>PSN6549</t>
  </si>
  <si>
    <t>TAK6758</t>
  </si>
  <si>
    <t>TAK6534</t>
  </si>
  <si>
    <t>PCT6723</t>
  </si>
  <si>
    <t>PSN1941</t>
  </si>
  <si>
    <t>TAK6904</t>
  </si>
  <si>
    <t>PCT6725</t>
  </si>
  <si>
    <t>NKW3179</t>
  </si>
  <si>
    <t>PSN6753</t>
  </si>
  <si>
    <t>KPP6757</t>
  </si>
  <si>
    <t>TAK6720</t>
  </si>
  <si>
    <t>UTR6512</t>
  </si>
  <si>
    <t>PSN1931</t>
  </si>
  <si>
    <t>TAK6746</t>
  </si>
  <si>
    <t>KPP6743</t>
  </si>
  <si>
    <t>KPP1600</t>
  </si>
  <si>
    <t>PSN6763</t>
  </si>
  <si>
    <t>TAK6834</t>
  </si>
  <si>
    <t>SKT6720</t>
  </si>
  <si>
    <t>UTR6707</t>
  </si>
  <si>
    <t>PCT6502</t>
  </si>
  <si>
    <t>PCT6770</t>
  </si>
  <si>
    <t>SKT6716</t>
  </si>
  <si>
    <t>NKW1908</t>
  </si>
  <si>
    <t>TAK6719</t>
  </si>
  <si>
    <t>TAK6718</t>
  </si>
  <si>
    <t>TAK6710</t>
  </si>
  <si>
    <t>SKT6901</t>
  </si>
  <si>
    <t>UTR6723</t>
  </si>
  <si>
    <t>PCT6738</t>
  </si>
  <si>
    <t>PSN6859</t>
  </si>
  <si>
    <t>PSN1936</t>
  </si>
  <si>
    <t>PCB6854</t>
  </si>
  <si>
    <t>UTR6751</t>
  </si>
  <si>
    <t>PCT1910</t>
  </si>
  <si>
    <t>PCT6703</t>
  </si>
  <si>
    <t>KPP6524</t>
  </si>
  <si>
    <t>SKT1914</t>
  </si>
  <si>
    <t>CNT6715</t>
  </si>
  <si>
    <t>KPP6759</t>
  </si>
  <si>
    <t>PCB6721</t>
  </si>
  <si>
    <t>TAK6724</t>
  </si>
  <si>
    <t>PSN6799</t>
  </si>
  <si>
    <t>PCT8011</t>
  </si>
  <si>
    <t>SKT6520</t>
  </si>
  <si>
    <t>UTR6513</t>
  </si>
  <si>
    <t>NKW3157</t>
  </si>
  <si>
    <t>PCB1905</t>
  </si>
  <si>
    <t>SKT8015</t>
  </si>
  <si>
    <t>PCB7610</t>
  </si>
  <si>
    <t>PSN7118</t>
  </si>
  <si>
    <t>PSN6562</t>
  </si>
  <si>
    <t>TAK1914</t>
  </si>
  <si>
    <t>TAK6835</t>
  </si>
  <si>
    <t>TAK6818</t>
  </si>
  <si>
    <t>PSN6710</t>
  </si>
  <si>
    <t>PCB6796</t>
  </si>
  <si>
    <t>PCB7174</t>
  </si>
  <si>
    <t>PCB6834</t>
  </si>
  <si>
    <t>PSN6548</t>
  </si>
  <si>
    <t>PCB6700</t>
  </si>
  <si>
    <t>PCB6544</t>
  </si>
  <si>
    <t>PCB6763</t>
  </si>
  <si>
    <t>TAK7229</t>
  </si>
  <si>
    <t>SKT6750</t>
  </si>
  <si>
    <t>TAK6527</t>
  </si>
  <si>
    <t>PSN1945</t>
  </si>
  <si>
    <t>SKT6735</t>
  </si>
  <si>
    <t>TAK7222</t>
  </si>
  <si>
    <t>SKT7116</t>
  </si>
  <si>
    <t>SKT6525</t>
  </si>
  <si>
    <t>PCB6529</t>
  </si>
  <si>
    <t>UTR3152</t>
  </si>
  <si>
    <t>KPP6750</t>
  </si>
  <si>
    <t>UTR6747</t>
  </si>
  <si>
    <t>KPP6715</t>
  </si>
  <si>
    <t>TAK6804</t>
  </si>
  <si>
    <t>TAK7215</t>
  </si>
  <si>
    <t>TAK7168</t>
  </si>
  <si>
    <t>PCT6532</t>
  </si>
  <si>
    <t>KPP1601</t>
  </si>
  <si>
    <t>PCB6779</t>
  </si>
  <si>
    <t>PCB6736</t>
  </si>
  <si>
    <t>PCT6507</t>
  </si>
  <si>
    <t>PSN6788</t>
  </si>
  <si>
    <t>KPP6749</t>
  </si>
  <si>
    <t>PSN6720</t>
  </si>
  <si>
    <t>PCB6747</t>
  </si>
  <si>
    <t>SKT6754</t>
  </si>
  <si>
    <t>PCB1903</t>
  </si>
  <si>
    <t>PCB8004</t>
  </si>
  <si>
    <t>TAK6734</t>
  </si>
  <si>
    <t>TAK6737</t>
  </si>
  <si>
    <t>TAK6761</t>
  </si>
  <si>
    <t>KPP6725</t>
  </si>
  <si>
    <t>PCT6713</t>
  </si>
  <si>
    <t>UTR6748</t>
  </si>
  <si>
    <t>UTR6525</t>
  </si>
  <si>
    <t>PSN6847</t>
  </si>
  <si>
    <t>KPP1904</t>
  </si>
  <si>
    <t>KPP6502</t>
  </si>
  <si>
    <t>UTR1601</t>
  </si>
  <si>
    <t>PCB6800</t>
  </si>
  <si>
    <t>PCT6731</t>
  </si>
  <si>
    <t>PCT6712</t>
  </si>
  <si>
    <t>KPP6836</t>
  </si>
  <si>
    <t>PCT6534</t>
  </si>
  <si>
    <t>TAK6747</t>
  </si>
  <si>
    <t>PCB6761</t>
  </si>
  <si>
    <t>SKT6707</t>
  </si>
  <si>
    <t>UTR6753</t>
  </si>
  <si>
    <t>PSN6810</t>
  </si>
  <si>
    <t>SKT6780</t>
  </si>
  <si>
    <t>PSN1522</t>
  </si>
  <si>
    <t>TAK6729</t>
  </si>
  <si>
    <t>PCB6532</t>
  </si>
  <si>
    <t>PCB7198</t>
  </si>
  <si>
    <t>PCB6749</t>
  </si>
  <si>
    <t>UTR6737</t>
  </si>
  <si>
    <t>PSN8800</t>
  </si>
  <si>
    <t>KPP6761</t>
  </si>
  <si>
    <t>KPP6727</t>
  </si>
  <si>
    <t>Other</t>
  </si>
  <si>
    <t>KPP7194</t>
  </si>
  <si>
    <t>PCB6713</t>
  </si>
  <si>
    <t>PCB6512</t>
  </si>
  <si>
    <t>Power System</t>
  </si>
  <si>
    <t>Hardware Defected - IP Transport</t>
  </si>
  <si>
    <t>Hardware Defected - RAN</t>
  </si>
  <si>
    <t>Fiber Optic Fault</t>
  </si>
  <si>
    <t>Planwork</t>
  </si>
  <si>
    <t>TAK7218</t>
  </si>
  <si>
    <t>TAK7621</t>
  </si>
  <si>
    <t>TAK7190</t>
  </si>
  <si>
    <t>PCB7251</t>
  </si>
  <si>
    <t>PSN6559</t>
  </si>
  <si>
    <t>PSN6739</t>
  </si>
  <si>
    <t>KPP6703</t>
  </si>
  <si>
    <t>KPP6822</t>
  </si>
  <si>
    <t>PCB6802</t>
  </si>
  <si>
    <t>UTR6738</t>
  </si>
  <si>
    <t>PSN6708</t>
  </si>
  <si>
    <t>PCB7141</t>
  </si>
  <si>
    <t>TAK6805</t>
  </si>
  <si>
    <t>Total</t>
  </si>
  <si>
    <t>SKT1907</t>
  </si>
  <si>
    <t>PCT6707</t>
  </si>
  <si>
    <t>TAK1916</t>
  </si>
  <si>
    <t>BanPaLaTha_MaeLaMung</t>
  </si>
  <si>
    <t>PCT6744</t>
  </si>
  <si>
    <t>UTR6755</t>
  </si>
  <si>
    <t>KPP6718</t>
  </si>
  <si>
    <t>PCB6526</t>
  </si>
  <si>
    <t>SKT6508</t>
  </si>
  <si>
    <t>PCB6795</t>
  </si>
  <si>
    <t>PCT6537</t>
  </si>
  <si>
    <t>Human Error</t>
  </si>
  <si>
    <t>TAK7127</t>
  </si>
  <si>
    <t>TAK6708</t>
  </si>
  <si>
    <t>PCB6777</t>
  </si>
  <si>
    <t>PSN6751</t>
  </si>
  <si>
    <t>TAK7255</t>
  </si>
  <si>
    <t>TAK7664</t>
  </si>
  <si>
    <t>PSN6802</t>
  </si>
  <si>
    <t>PCB8565</t>
  </si>
  <si>
    <t>UTR6801</t>
  </si>
  <si>
    <t>KPP7138</t>
  </si>
  <si>
    <t>PCB1614</t>
  </si>
  <si>
    <t>TAK6504</t>
  </si>
  <si>
    <t>TAK6740</t>
  </si>
  <si>
    <t>UTR6720</t>
  </si>
  <si>
    <t>TAK6722</t>
  </si>
  <si>
    <t>TAK7111</t>
  </si>
  <si>
    <t>TAK6717</t>
  </si>
  <si>
    <t>PCB1761</t>
  </si>
  <si>
    <t>PCT1125</t>
  </si>
  <si>
    <t>KPP6511</t>
  </si>
  <si>
    <t>PCB6502</t>
  </si>
  <si>
    <t>PCB1781</t>
  </si>
  <si>
    <t>PCB7238</t>
  </si>
  <si>
    <t>TAK6752</t>
  </si>
  <si>
    <t>BanThaChalom_ThongFa</t>
  </si>
  <si>
    <t>PSN0018</t>
  </si>
  <si>
    <t>PCB8575</t>
  </si>
  <si>
    <t>UTR6717</t>
  </si>
  <si>
    <t>PCB6723</t>
  </si>
  <si>
    <t>SKT2261</t>
  </si>
  <si>
    <t>PSN7156</t>
  </si>
  <si>
    <t>PCB3012</t>
  </si>
  <si>
    <t>UTR7144</t>
  </si>
  <si>
    <t>KPP6723</t>
  </si>
  <si>
    <t>PCB6704</t>
  </si>
  <si>
    <t>PCB7181</t>
  </si>
  <si>
    <t>SKT6739</t>
  </si>
  <si>
    <t>TAK7619</t>
  </si>
  <si>
    <t>TAK6749</t>
  </si>
  <si>
    <t>BanRomKlaoSahamit_KhiriRat</t>
  </si>
  <si>
    <t>PCB6722</t>
  </si>
  <si>
    <t>TAK6810</t>
  </si>
  <si>
    <t>PSN7215</t>
  </si>
  <si>
    <t>RukChat_BorPak</t>
  </si>
  <si>
    <t>TAK6735</t>
  </si>
  <si>
    <t>SKT7217</t>
  </si>
  <si>
    <t>PCB6728</t>
  </si>
  <si>
    <t>BanHuaiPhueng_ThaPhaek</t>
  </si>
  <si>
    <t>BanThaSongYang_ThaSongYang</t>
  </si>
  <si>
    <t>PCB6753</t>
  </si>
  <si>
    <t>TAK6858</t>
  </si>
  <si>
    <t>BanPaKhaMaiSchool_KhiriRat</t>
  </si>
  <si>
    <t>PSN6726</t>
  </si>
  <si>
    <t>PSN6738</t>
  </si>
  <si>
    <t>UTR6721</t>
  </si>
  <si>
    <t>SKT7114</t>
  </si>
  <si>
    <t>Top 50 Repeat fault 3G850 UPC02</t>
  </si>
  <si>
    <t>Top 50 Repeat fault 3G2100&amp;LTE UPC02</t>
  </si>
  <si>
    <t>Top 50 Repeat fault 2G&amp;LTE900 UPC02</t>
  </si>
  <si>
    <t>PSN1764</t>
  </si>
  <si>
    <t>UTR7740</t>
  </si>
  <si>
    <t>PCT6515</t>
  </si>
  <si>
    <t>PCT6728</t>
  </si>
  <si>
    <t>KPP6515</t>
  </si>
  <si>
    <t>PCB6543</t>
  </si>
  <si>
    <t>UTR1927</t>
  </si>
  <si>
    <t>PSN6732</t>
  </si>
  <si>
    <t>PCB1624</t>
  </si>
  <si>
    <t>SKT6712</t>
  </si>
  <si>
    <t>PSN1726</t>
  </si>
  <si>
    <t>KPP6508</t>
  </si>
  <si>
    <t>TAK1800</t>
  </si>
  <si>
    <t>PCB6743</t>
  </si>
  <si>
    <t>PSN6713</t>
  </si>
  <si>
    <t>PSN6717</t>
  </si>
  <si>
    <t>Hardware Defected -Transmission</t>
  </si>
  <si>
    <t>TAK6764</t>
  </si>
  <si>
    <t>BanHuaiMun_HuaiMun</t>
  </si>
  <si>
    <t>SKT7123</t>
  </si>
  <si>
    <t>WatPaKha(BanPaKha)_BanKaeng</t>
  </si>
  <si>
    <t>PhuSoidaoNationalPark_BoPhak</t>
  </si>
  <si>
    <t>UTR7201</t>
  </si>
  <si>
    <t>PCT6504</t>
  </si>
  <si>
    <t>TAK6762</t>
  </si>
  <si>
    <t>TAK7263</t>
  </si>
  <si>
    <t>BanDeLoKhi_NongLuang</t>
  </si>
  <si>
    <t>BanMaeSalitLuang_MaeSong</t>
  </si>
  <si>
    <t>PSN6777</t>
  </si>
  <si>
    <t>BanMaiChaiCharoen_BanKlang</t>
  </si>
  <si>
    <t>TAK7125</t>
  </si>
  <si>
    <t>PCB6718</t>
  </si>
  <si>
    <t>TAK6745</t>
  </si>
  <si>
    <t>BanMae U Su_Mae U Su</t>
  </si>
  <si>
    <t>PCB6724</t>
  </si>
  <si>
    <t>BanSanHip_MaeSam</t>
  </si>
  <si>
    <t>BanProPhaDo_MoKro</t>
  </si>
  <si>
    <t>BanKloTho_MaeChan</t>
  </si>
  <si>
    <t>BanYaPho_WaLe</t>
  </si>
  <si>
    <t>PCB7630</t>
  </si>
  <si>
    <t>BanNamDueaNuea_HuaiYai</t>
  </si>
  <si>
    <t>TAK6763</t>
  </si>
  <si>
    <t>BanChediKhoMai_Mahawan</t>
  </si>
  <si>
    <t>TAK7657</t>
  </si>
  <si>
    <t>BanNamHomSchool_MaeTuen</t>
  </si>
  <si>
    <t>Hardware Defected - Microwave</t>
  </si>
  <si>
    <t>TAK8509</t>
  </si>
  <si>
    <t>CAT/PCT007-SiYaekBanNongHuaPluak_PhaiRop</t>
  </si>
  <si>
    <t>PSN1917</t>
  </si>
  <si>
    <t>BanNikhomBangRakam_NongKula</t>
  </si>
  <si>
    <t>TPTILankrabueTrainingCenter_NonPhluang</t>
  </si>
  <si>
    <t>TAK6736</t>
  </si>
  <si>
    <t>PCB6771</t>
  </si>
  <si>
    <t>BanWangSaiThong_SapPoep</t>
  </si>
  <si>
    <t>PSN1943</t>
  </si>
  <si>
    <t>BanWangNamPun_BanYang</t>
  </si>
  <si>
    <t>PCB3015</t>
  </si>
  <si>
    <t>PSN7144</t>
  </si>
  <si>
    <t>BanHinLat_DonThong</t>
  </si>
  <si>
    <t>KPP7188</t>
  </si>
  <si>
    <t>BanMapPhai_ThepNimit</t>
  </si>
  <si>
    <t>UTR7112</t>
  </si>
  <si>
    <t>BamNgomSak_ThaFaek</t>
  </si>
  <si>
    <t>TAK7107</t>
  </si>
  <si>
    <t>BanSuanOi_Tha Song Yang</t>
  </si>
  <si>
    <t>UTR6757</t>
  </si>
  <si>
    <t>BanWaleNuea_Wale</t>
  </si>
  <si>
    <t>PCT6505</t>
  </si>
  <si>
    <t>TAK6712</t>
  </si>
  <si>
    <t>BanNamDip_SamoKhon</t>
  </si>
  <si>
    <t>PSN7205</t>
  </si>
  <si>
    <t>BanSamRang_Chomphu</t>
  </si>
  <si>
    <t>TAK3132</t>
  </si>
  <si>
    <t>BanNoenSawang_BanKlang</t>
  </si>
  <si>
    <t>KPP7270</t>
  </si>
  <si>
    <t>BanPangChangYom_WangThong</t>
  </si>
  <si>
    <t>BanPakPan_KhanChong</t>
  </si>
  <si>
    <t>PCB6748</t>
  </si>
  <si>
    <t>BanBoThai_BoThai</t>
  </si>
  <si>
    <t>TAK1618</t>
  </si>
  <si>
    <t>BanMaeTaoMai_PhrathatPhaDaeng</t>
  </si>
  <si>
    <t>UTR7203</t>
  </si>
  <si>
    <t>BanDenChat_BoBia</t>
  </si>
  <si>
    <t>UTR7113</t>
  </si>
  <si>
    <t>BanPangHai_BoBia</t>
  </si>
  <si>
    <t>TAK6751</t>
  </si>
  <si>
    <t>BanLanSo_WangPraChop</t>
  </si>
  <si>
    <t>KPP8538</t>
  </si>
  <si>
    <t>BanNongPling_NaiMueangKPP</t>
  </si>
  <si>
    <t>TAK7140</t>
  </si>
  <si>
    <t>Aok PhaRoo_Mae La</t>
  </si>
  <si>
    <t>PSN6784</t>
  </si>
  <si>
    <t>BanSapCharoen_PhopPhra</t>
  </si>
  <si>
    <t>WatMaeLa_ThaSongYang</t>
  </si>
  <si>
    <t>RefugeeCampMaeLa(BaeKo)_MaeLa</t>
  </si>
  <si>
    <t>UTR7110</t>
  </si>
  <si>
    <t>BanNaPhakHat_NamPhai</t>
  </si>
  <si>
    <t>Ban Mae Om Khi_Mae Wa Luang</t>
  </si>
  <si>
    <t>KPP6710</t>
  </si>
  <si>
    <t>BanThawonWatthana_WangKham</t>
  </si>
  <si>
    <t>BanNamDan_NongKraThao</t>
  </si>
  <si>
    <t>PSN6718</t>
  </si>
  <si>
    <t>BanBangKlangThaoPhittayakomSchoo_BanYaeg</t>
  </si>
  <si>
    <t>TAK7660</t>
  </si>
  <si>
    <t>SamNakSongBanMaeSalit Noi_MaeSong</t>
  </si>
  <si>
    <t>UTR7117</t>
  </si>
  <si>
    <t>PCT6506</t>
  </si>
  <si>
    <t>CAT/PCT006-BanBuengLi_PhoSaiNgam</t>
  </si>
  <si>
    <t>PCB8807</t>
  </si>
  <si>
    <t>WatKhokSa-nga_WichianBuri</t>
  </si>
  <si>
    <t>BanNoenSuwanSchool_KhanChong</t>
  </si>
  <si>
    <t>WatNaTaChum_BanDong</t>
  </si>
  <si>
    <t>BanHuaiPhai_BoBia</t>
  </si>
  <si>
    <t>Grand Total</t>
  </si>
  <si>
    <t>PSN7288</t>
  </si>
  <si>
    <t>BankiumMok_RongklaNationnalPark</t>
  </si>
  <si>
    <t>SKT7155</t>
  </si>
  <si>
    <t>PCB6765</t>
  </si>
  <si>
    <t>BanThungYai_ThaRong</t>
  </si>
  <si>
    <t>Banrakthai_ChomPhu</t>
  </si>
  <si>
    <t>UTR7152</t>
  </si>
  <si>
    <t>BanNgomMot_ThaPhaek</t>
  </si>
  <si>
    <t>PSN1602</t>
  </si>
  <si>
    <t>PhuHinRongKlaNationalPark_NoenPerm</t>
  </si>
  <si>
    <t>PSN7289</t>
  </si>
  <si>
    <t>KanmueangThahanSchool</t>
  </si>
  <si>
    <t>BanNamChuang_BoPhak</t>
  </si>
  <si>
    <t>WatDoiMontha (MusoeMarket)_DanMaeLamao</t>
  </si>
  <si>
    <t>BanNongBua_MaeUsu</t>
  </si>
  <si>
    <t>TAK7113</t>
  </si>
  <si>
    <t>BanWangNamYen_NaBot</t>
  </si>
  <si>
    <t>BanKhunNamKhap_BoPhak</t>
  </si>
  <si>
    <t>BanThaDuang_ThaDuang</t>
  </si>
  <si>
    <t>PSN6770</t>
  </si>
  <si>
    <t>BanSawoeiSung_BuengKok</t>
  </si>
  <si>
    <t>BanWangTatSchool_WangNokAen</t>
  </si>
  <si>
    <t>PCB6847</t>
  </si>
  <si>
    <t>Remote RRU-Tup Berk community enterprise</t>
  </si>
  <si>
    <t>PCB6821</t>
  </si>
  <si>
    <t>BanSaengMani_SubSomBoon</t>
  </si>
  <si>
    <t>KPP7112</t>
  </si>
  <si>
    <t>BanSapManao_WangSai</t>
  </si>
  <si>
    <t>BanPangKhom_Bobia</t>
  </si>
  <si>
    <t>PSN6700</t>
  </si>
  <si>
    <t>SiInThraThitPhittayakhomSchool_NongKatho</t>
  </si>
  <si>
    <t>BanSompoi_SamMuen</t>
  </si>
  <si>
    <t>TAK1934</t>
  </si>
  <si>
    <t>BanNaBot_NaBot</t>
  </si>
  <si>
    <t>CAT/TAK004 BanSanPaTuang</t>
  </si>
  <si>
    <t>PSN9002</t>
  </si>
  <si>
    <t>Big C Supercenter PSN (YaekRueanPhae)</t>
  </si>
  <si>
    <t>BanSumkham_Nakham</t>
  </si>
  <si>
    <t>CAT/UTRX02_SAO-KhoiSung</t>
  </si>
  <si>
    <t>PCB3020</t>
  </si>
  <si>
    <t>BanKhokPhek_KanJu</t>
  </si>
  <si>
    <t>PCT1606</t>
  </si>
  <si>
    <t>BanThaBua_ThaBua</t>
  </si>
  <si>
    <t>DanPhaWo_PhaWo</t>
  </si>
  <si>
    <t>Jewelry (Talat Phloi) MaeSod_MaeSod</t>
  </si>
  <si>
    <t>TAK7912</t>
  </si>
  <si>
    <t>TAK7913</t>
  </si>
  <si>
    <t>PCB7220</t>
  </si>
  <si>
    <t>BanRaiYan_TaBo</t>
  </si>
  <si>
    <t>BanLatNoi_PhutThaBat</t>
  </si>
  <si>
    <t>PCB7164</t>
  </si>
  <si>
    <t>KhaoKhoWinPower_ThungSamo</t>
  </si>
  <si>
    <t>PSN8546</t>
  </si>
  <si>
    <t>BanSaphanHin_PhromPhiRam</t>
  </si>
  <si>
    <t>PSN6800</t>
  </si>
  <si>
    <t>BanKasetSuk_BanYaeng</t>
  </si>
  <si>
    <t>BanKhiriNoi_RuamThaiPhatthana</t>
  </si>
  <si>
    <t>SKT7112</t>
  </si>
  <si>
    <t>BanMaeThaPhaeSchool_BanKaeng</t>
  </si>
  <si>
    <t>PCB7645</t>
  </si>
  <si>
    <t>BanChonDaenNuea_ChonDaen</t>
  </si>
  <si>
    <t>ThanPhuYing PhonSom KonThonChindaSchool</t>
  </si>
  <si>
    <t>KPP6716</t>
  </si>
  <si>
    <t>BanLanKrathing_WangKhuang</t>
  </si>
  <si>
    <t>TAK7665</t>
  </si>
  <si>
    <t>BanKlaeMueCho_MaeTan</t>
  </si>
  <si>
    <t>PSN6560</t>
  </si>
  <si>
    <t>CAT/PLK055-WatChaiCharoen_BanKlang</t>
  </si>
  <si>
    <t>ChomChonWatBanDongSchool_BanDong</t>
  </si>
  <si>
    <t>KPP6760</t>
  </si>
  <si>
    <t>BanRai_SongTham</t>
  </si>
  <si>
    <t>TAK6731</t>
  </si>
  <si>
    <t>BanMaiPhonSawan_NaBot</t>
  </si>
  <si>
    <t>SAO-NangPhaya_NangPhaya</t>
  </si>
  <si>
    <t>TAK8507</t>
  </si>
  <si>
    <t>WatSantiTham_MaePa</t>
  </si>
  <si>
    <t>PSN7105</t>
  </si>
  <si>
    <t>BanHuaiSaiNuea_HuaiHia</t>
  </si>
  <si>
    <t>NaReSuanParamilitaryForceCamp_MaeLa</t>
  </si>
  <si>
    <t>TAK7310</t>
  </si>
  <si>
    <t>BanWangSai_WangTaKlo</t>
  </si>
  <si>
    <t>TAK7309</t>
  </si>
  <si>
    <t>BanRongkla_NoenPerm</t>
  </si>
  <si>
    <t>CAT/KPT008-DistrictOfficePranKraTai_Pran</t>
  </si>
  <si>
    <t>BanThapBoek(PhuThapBoek)_WangBan</t>
  </si>
  <si>
    <t>BanRomKlao4School_BanUmPiam Kirirat</t>
  </si>
  <si>
    <t>SKT7198</t>
  </si>
  <si>
    <t>BanKhlongDan_KhraiNai</t>
  </si>
  <si>
    <t>PCT7181</t>
  </si>
  <si>
    <t>BanPhoLoi_HuaiKet</t>
  </si>
  <si>
    <t>BanMukTo_NongMaeNa</t>
  </si>
  <si>
    <t>PCT6715</t>
  </si>
  <si>
    <t>BanThaPo_WangWa</t>
  </si>
  <si>
    <t>SKT6727</t>
  </si>
  <si>
    <t>BanHuaiTonPhueng_KlangDong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</si>
</sst>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d\ mmm\ yy;@"/>
  </numFmts>
  <fonts count="17">
    <font>
      <sz val="11"/>
      <color theme="1"/>
      <name val="Calibri"/>
      <family val="2"/>
      <charset val="222"/>
      <scheme val="minor"/>
    </font>
    <font>
      <sz val="6"/>
      <color theme="1"/>
      <name val="Calibri"/>
      <family val="2"/>
      <charset val="222"/>
      <scheme val="minor"/>
    </font>
    <font>
      <sz val="8"/>
      <color theme="1"/>
      <name val="Calibri"/>
      <family val="2"/>
      <charset val="222"/>
      <scheme val="minor"/>
    </font>
    <font>
      <b/>
      <sz val="9"/>
      <name val="Arial"/>
      <family val="2"/>
    </font>
    <font>
      <b/>
      <sz val="9"/>
      <color theme="1"/>
      <name val="Calibri"/>
      <family val="2"/>
      <charset val="222"/>
      <scheme val="minor"/>
    </font>
    <font>
      <sz val="9"/>
      <color theme="1"/>
      <name val="Calibri"/>
      <family val="2"/>
      <charset val="222"/>
      <scheme val="minor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0"/>
      <name val="Calibri"/>
      <family val="2"/>
      <charset val="22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7"/>
      <color theme="0"/>
      <name val="Calibri"/>
      <family val="2"/>
      <scheme val="minor"/>
    </font>
    <font>
      <sz val="7"/>
      <color theme="1"/>
      <name val="Calibri"/>
      <family val="2"/>
      <charset val="22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charset val="22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BFF4B"/>
        <bgColor indexed="64"/>
      </patternFill>
    </fill>
    <fill>
      <patternFill patternType="solid">
        <fgColor rgb="FF97FF9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vertical="center"/>
    </xf>
    <xf numFmtId="0" fontId="5" fillId="0" borderId="0" xfId="0" applyFont="1"/>
    <xf numFmtId="0" fontId="0" fillId="3" borderId="0" xfId="0" applyFill="1"/>
    <xf numFmtId="0" fontId="7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7" fillId="5" borderId="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9" fillId="6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/>
    <xf numFmtId="0" fontId="12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164" fontId="14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15" fillId="8" borderId="0" xfId="0" applyFont="1" applyFill="1"/>
    <xf numFmtId="0" fontId="15" fillId="9" borderId="0" xfId="0" applyFont="1" applyFill="1"/>
    <xf numFmtId="0" fontId="13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theme="0" tint="-0.14996795556505021"/>
      </font>
    </dxf>
    <dxf>
      <font>
        <b/>
        <i val="0"/>
        <color rgb="FFFF0000"/>
      </font>
    </dxf>
    <dxf>
      <font>
        <b/>
        <i val="0"/>
        <color theme="0" tint="-0.14996795556505021"/>
      </font>
    </dxf>
    <dxf>
      <font>
        <b/>
        <i val="0"/>
        <color rgb="FFFF0000"/>
      </font>
    </dxf>
    <dxf>
      <font>
        <b/>
        <i val="0"/>
        <color theme="0" tint="-0.14996795556505021"/>
      </font>
    </dxf>
    <dxf>
      <font>
        <b/>
        <i val="0"/>
        <color rgb="FFFF0000"/>
      </font>
    </dxf>
    <dxf>
      <font>
        <b/>
        <i val="0"/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6FF"/>
  </sheetPr>
  <dimension ref="A3:DJ166"/>
  <sheetViews>
    <sheetView showGridLines="0" tabSelected="1" zoomScaleNormal="100" workbookViewId="0">
      <pane ySplit="4" topLeftCell="A5" activePane="bottomLeft" state="frozen"/>
      <selection activeCell="M1" sqref="M1"/>
      <selection pane="bottomLeft" activeCell="DK5" sqref="DK5"/>
    </sheetView>
  </sheetViews>
  <sheetFormatPr defaultRowHeight="14.4"/>
  <cols>
    <col min="1" max="1" width="5" style="1" bestFit="1" customWidth="1"/>
    <col min="2" max="12" width="4.6640625" style="1" customWidth="1"/>
    <col min="13" max="13" width="9" style="2"/>
    <col min="14" max="14" width="3.6640625" customWidth="1"/>
    <col min="15" max="15" width="7.6640625" style="29" customWidth="1"/>
    <col min="16" max="16" width="23.6640625" style="29" customWidth="1"/>
    <col min="17" max="28" width="4.44140625" style="29" customWidth="1"/>
    <col min="29" max="29" width="7.109375" style="29" customWidth="1"/>
    <col min="30" max="30" width="44.5546875" customWidth="1"/>
    <col min="31" max="31" width="5" customWidth="1"/>
    <col min="33" max="33" width="3.6640625" customWidth="1"/>
    <col min="34" max="34" width="7.6640625" style="29" customWidth="1"/>
    <col min="35" max="35" width="23.6640625" customWidth="1"/>
    <col min="36" max="43" width="7.109375" customWidth="1"/>
    <col min="44" max="44" width="7.109375" hidden="1" customWidth="1"/>
    <col min="45" max="46" width="7.109375" customWidth="1"/>
    <col min="48" max="48" width="1.88671875" style="8" customWidth="1"/>
    <col min="50" max="50" width="3.6640625" customWidth="1"/>
    <col min="51" max="51" width="7.6640625" customWidth="1"/>
    <col min="52" max="52" width="23.6640625" customWidth="1"/>
    <col min="53" max="64" width="4.44140625" customWidth="1"/>
    <col min="65" max="65" width="7.109375" customWidth="1"/>
    <col min="68" max="68" width="3.6640625" customWidth="1"/>
    <col min="69" max="69" width="7.6640625" customWidth="1"/>
    <col min="70" max="70" width="23.6640625" customWidth="1"/>
    <col min="71" max="77" width="7.109375" customWidth="1"/>
    <col min="78" max="78" width="7.109375" hidden="1" customWidth="1"/>
    <col min="79" max="80" width="7.109375" customWidth="1"/>
    <col min="82" max="82" width="1.88671875" style="8" customWidth="1"/>
    <col min="84" max="84" width="3.6640625" customWidth="1"/>
    <col min="85" max="85" width="7.6640625" customWidth="1"/>
    <col min="86" max="86" width="23.6640625" customWidth="1"/>
    <col min="87" max="98" width="4.44140625" customWidth="1"/>
    <col min="99" max="99" width="7.109375" customWidth="1"/>
    <col min="102" max="102" width="3.6640625" customWidth="1"/>
    <col min="103" max="103" width="7.6640625" customWidth="1"/>
    <col min="104" max="104" width="23.6640625" customWidth="1"/>
    <col min="105" max="111" width="7.109375" customWidth="1"/>
    <col min="112" max="113" width="7.109375" hidden="1" customWidth="1"/>
    <col min="114" max="114" width="7.109375" customWidth="1"/>
  </cols>
  <sheetData>
    <row r="3" spans="1:114">
      <c r="A3" s="30">
        <v>2023</v>
      </c>
      <c r="N3" s="3" t="s">
        <v>254</v>
      </c>
      <c r="O3" s="4"/>
      <c r="P3" s="4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G3" s="6" t="s">
        <v>254</v>
      </c>
      <c r="AH3" s="6"/>
      <c r="AI3" s="6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X3" s="9" t="s">
        <v>255</v>
      </c>
      <c r="AY3" s="10"/>
      <c r="AZ3" s="10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P3" s="11" t="s">
        <v>255</v>
      </c>
      <c r="BQ3" s="11"/>
      <c r="BR3" s="11"/>
      <c r="BS3" s="7"/>
      <c r="BT3" s="7"/>
      <c r="BU3" s="7"/>
      <c r="BV3" s="7"/>
      <c r="BW3" s="7"/>
      <c r="BX3" s="7"/>
      <c r="BY3" s="7"/>
      <c r="BZ3" s="7"/>
      <c r="CA3" s="7"/>
      <c r="CB3" s="7"/>
      <c r="CF3" s="12" t="s">
        <v>256</v>
      </c>
      <c r="CG3" s="13"/>
      <c r="CH3" s="13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X3" s="14" t="s">
        <v>256</v>
      </c>
      <c r="CY3" s="14"/>
      <c r="CZ3" s="14"/>
      <c r="DA3" s="7"/>
      <c r="DB3" s="7"/>
      <c r="DC3" s="7"/>
      <c r="DD3" s="7"/>
      <c r="DE3" s="7"/>
      <c r="DF3" s="7"/>
      <c r="DG3" s="7"/>
      <c r="DH3" s="7"/>
      <c r="DI3" s="7"/>
      <c r="DJ3" s="7"/>
    </row>
    <row r="4" spans="1:114" ht="38.4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6" t="s">
        <v>13</v>
      </c>
      <c r="P4" s="16" t="s">
        <v>14</v>
      </c>
      <c r="Q4" s="16" t="s">
        <v>0</v>
      </c>
      <c r="R4" s="16" t="s">
        <v>1</v>
      </c>
      <c r="S4" s="16" t="s">
        <v>2</v>
      </c>
      <c r="T4" s="16" t="s">
        <v>3</v>
      </c>
      <c r="U4" s="16" t="s">
        <v>4</v>
      </c>
      <c r="V4" s="16" t="s">
        <v>5</v>
      </c>
      <c r="W4" s="16" t="s">
        <v>6</v>
      </c>
      <c r="X4" s="16" t="s">
        <v>7</v>
      </c>
      <c r="Y4" s="16" t="s">
        <v>8</v>
      </c>
      <c r="Z4" s="16" t="s">
        <v>9</v>
      </c>
      <c r="AA4" s="16" t="s">
        <v>10</v>
      </c>
      <c r="AB4" s="16" t="s">
        <v>11</v>
      </c>
      <c r="AC4" s="16" t="s">
        <v>185</v>
      </c>
      <c r="AD4" s="17" t="s">
        <v>15</v>
      </c>
      <c r="AE4" s="18" t="s">
        <v>16</v>
      </c>
      <c r="AF4" s="19"/>
      <c r="AG4" s="20" t="s">
        <v>12</v>
      </c>
      <c r="AH4" s="20" t="s">
        <v>13</v>
      </c>
      <c r="AI4" s="21" t="s">
        <v>14</v>
      </c>
      <c r="AJ4" s="22" t="s">
        <v>167</v>
      </c>
      <c r="AK4" s="22" t="s">
        <v>168</v>
      </c>
      <c r="AL4" s="22" t="s">
        <v>302</v>
      </c>
      <c r="AM4" s="22" t="s">
        <v>169</v>
      </c>
      <c r="AN4" s="22" t="s">
        <v>170</v>
      </c>
      <c r="AO4" s="22" t="s">
        <v>273</v>
      </c>
      <c r="AP4" s="22" t="s">
        <v>171</v>
      </c>
      <c r="AQ4" s="22" t="s">
        <v>197</v>
      </c>
      <c r="AR4" s="20" t="s">
        <v>370</v>
      </c>
      <c r="AS4" s="32" t="s">
        <v>163</v>
      </c>
      <c r="AT4" s="20" t="s">
        <v>185</v>
      </c>
      <c r="AX4" s="16" t="s">
        <v>12</v>
      </c>
      <c r="AY4" s="16" t="s">
        <v>13</v>
      </c>
      <c r="AZ4" s="16" t="s">
        <v>14</v>
      </c>
      <c r="BA4" s="16" t="s">
        <v>0</v>
      </c>
      <c r="BB4" s="16" t="s">
        <v>1</v>
      </c>
      <c r="BC4" s="16" t="s">
        <v>2</v>
      </c>
      <c r="BD4" s="16" t="s">
        <v>3</v>
      </c>
      <c r="BE4" s="16" t="s">
        <v>4</v>
      </c>
      <c r="BF4" s="16" t="s">
        <v>5</v>
      </c>
      <c r="BG4" s="16" t="s">
        <v>6</v>
      </c>
      <c r="BH4" s="16" t="s">
        <v>7</v>
      </c>
      <c r="BI4" s="16" t="s">
        <v>8</v>
      </c>
      <c r="BJ4" s="16" t="s">
        <v>9</v>
      </c>
      <c r="BK4" s="16" t="s">
        <v>10</v>
      </c>
      <c r="BL4" s="16" t="s">
        <v>11</v>
      </c>
      <c r="BM4" s="16" t="s">
        <v>185</v>
      </c>
      <c r="BN4" s="19"/>
      <c r="BO4" s="19"/>
      <c r="BP4" s="20" t="s">
        <v>12</v>
      </c>
      <c r="BQ4" s="20" t="s">
        <v>13</v>
      </c>
      <c r="BR4" s="21" t="s">
        <v>14</v>
      </c>
      <c r="BS4" s="22" t="s">
        <v>167</v>
      </c>
      <c r="BT4" s="22" t="s">
        <v>168</v>
      </c>
      <c r="BU4" s="22" t="s">
        <v>169</v>
      </c>
      <c r="BV4" s="22" t="s">
        <v>170</v>
      </c>
      <c r="BW4" s="22" t="s">
        <v>273</v>
      </c>
      <c r="BX4" s="20" t="s">
        <v>171</v>
      </c>
      <c r="BY4" s="22" t="s">
        <v>197</v>
      </c>
      <c r="BZ4" s="20" t="s">
        <v>370</v>
      </c>
      <c r="CA4" s="32" t="s">
        <v>163</v>
      </c>
      <c r="CB4" s="20" t="s">
        <v>185</v>
      </c>
      <c r="CF4" s="16" t="s">
        <v>12</v>
      </c>
      <c r="CG4" s="16" t="s">
        <v>13</v>
      </c>
      <c r="CH4" s="16" t="s">
        <v>14</v>
      </c>
      <c r="CI4" s="16" t="s">
        <v>0</v>
      </c>
      <c r="CJ4" s="16" t="s">
        <v>1</v>
      </c>
      <c r="CK4" s="16" t="s">
        <v>2</v>
      </c>
      <c r="CL4" s="16" t="s">
        <v>3</v>
      </c>
      <c r="CM4" s="16" t="s">
        <v>4</v>
      </c>
      <c r="CN4" s="16" t="s">
        <v>5</v>
      </c>
      <c r="CO4" s="16" t="s">
        <v>6</v>
      </c>
      <c r="CP4" s="16" t="s">
        <v>7</v>
      </c>
      <c r="CQ4" s="16" t="s">
        <v>8</v>
      </c>
      <c r="CR4" s="16" t="s">
        <v>9</v>
      </c>
      <c r="CS4" s="16" t="s">
        <v>10</v>
      </c>
      <c r="CT4" s="16" t="s">
        <v>11</v>
      </c>
      <c r="CU4" s="16" t="s">
        <v>185</v>
      </c>
      <c r="CV4" s="19"/>
      <c r="CW4" s="19"/>
      <c r="CX4" s="20" t="s">
        <v>12</v>
      </c>
      <c r="CY4" s="20" t="s">
        <v>13</v>
      </c>
      <c r="CZ4" s="21" t="s">
        <v>14</v>
      </c>
      <c r="DA4" s="22" t="s">
        <v>167</v>
      </c>
      <c r="DB4" s="22" t="s">
        <v>168</v>
      </c>
      <c r="DC4" s="22" t="s">
        <v>169</v>
      </c>
      <c r="DD4" s="21" t="s">
        <v>170</v>
      </c>
      <c r="DE4" s="22" t="s">
        <v>273</v>
      </c>
      <c r="DF4" s="22" t="s">
        <v>171</v>
      </c>
      <c r="DG4" s="22" t="s">
        <v>197</v>
      </c>
      <c r="DH4" s="32"/>
      <c r="DI4" s="22"/>
      <c r="DJ4" s="20" t="s">
        <v>185</v>
      </c>
    </row>
    <row r="5" spans="1:114">
      <c r="A5" s="1" t="s">
        <v>161</v>
      </c>
      <c r="B5" s="1" t="s">
        <v>264</v>
      </c>
      <c r="C5" s="1" t="s">
        <v>264</v>
      </c>
      <c r="D5" s="1" t="s">
        <v>264</v>
      </c>
      <c r="E5" s="1" t="s">
        <v>51</v>
      </c>
      <c r="F5" s="1" t="s">
        <v>51</v>
      </c>
      <c r="N5" s="23">
        <v>1</v>
      </c>
      <c r="O5" s="23" t="s">
        <v>51</v>
      </c>
      <c r="P5" s="23" t="s">
        <v>246</v>
      </c>
      <c r="Q5" s="23">
        <v>4</v>
      </c>
      <c r="R5" s="23">
        <v>8</v>
      </c>
      <c r="S5" s="23">
        <v>2</v>
      </c>
      <c r="T5" s="23">
        <v>11</v>
      </c>
      <c r="U5" s="23">
        <v>22</v>
      </c>
      <c r="V5" s="23">
        <v>14</v>
      </c>
      <c r="W5" s="23"/>
      <c r="X5" s="23"/>
      <c r="Y5" s="23"/>
      <c r="Z5" s="23"/>
      <c r="AA5" s="23"/>
      <c r="AB5" s="23"/>
      <c r="AC5" s="24">
        <v>61</v>
      </c>
      <c r="AD5" s="25"/>
      <c r="AE5" s="26"/>
      <c r="AF5" s="2"/>
      <c r="AG5" s="23">
        <v>1</v>
      </c>
      <c r="AH5" s="23" t="s">
        <v>51</v>
      </c>
      <c r="AI5" s="23" t="s">
        <v>246</v>
      </c>
      <c r="AJ5" s="23">
        <v>37</v>
      </c>
      <c r="AK5" s="23">
        <v>0</v>
      </c>
      <c r="AL5" s="23">
        <v>0</v>
      </c>
      <c r="AM5" s="23">
        <v>0</v>
      </c>
      <c r="AN5" s="23">
        <v>24</v>
      </c>
      <c r="AO5" s="23">
        <v>0</v>
      </c>
      <c r="AP5" s="23">
        <v>0</v>
      </c>
      <c r="AQ5" s="23">
        <v>0</v>
      </c>
      <c r="AR5" s="23"/>
      <c r="AS5" s="23">
        <v>0</v>
      </c>
      <c r="AT5" s="23">
        <f>SUM(AJ5:AS5)</f>
        <v>61</v>
      </c>
      <c r="AX5" s="23">
        <v>1</v>
      </c>
      <c r="AY5" s="23" t="s">
        <v>287</v>
      </c>
      <c r="AZ5" s="23" t="e">
        <v>#N/A</v>
      </c>
      <c r="BA5" s="23">
        <v>36</v>
      </c>
      <c r="BB5" s="23">
        <v>32</v>
      </c>
      <c r="BC5" s="23">
        <v>20</v>
      </c>
      <c r="BD5" s="23">
        <v>29</v>
      </c>
      <c r="BE5" s="23">
        <v>27</v>
      </c>
      <c r="BF5" s="23">
        <v>28</v>
      </c>
      <c r="BG5" s="23"/>
      <c r="BH5" s="23"/>
      <c r="BI5" s="23"/>
      <c r="BJ5" s="23"/>
      <c r="BK5" s="23"/>
      <c r="BL5" s="23"/>
      <c r="BM5" s="23">
        <v>172</v>
      </c>
      <c r="BN5" s="2"/>
      <c r="BO5" s="2"/>
      <c r="BP5" s="23">
        <v>1</v>
      </c>
      <c r="BQ5" s="23" t="s">
        <v>287</v>
      </c>
      <c r="BR5" s="23" t="e">
        <v>#N/A</v>
      </c>
      <c r="BS5" s="23">
        <v>164</v>
      </c>
      <c r="BT5" s="23">
        <v>0</v>
      </c>
      <c r="BU5" s="23">
        <v>3</v>
      </c>
      <c r="BV5" s="23">
        <v>5</v>
      </c>
      <c r="BW5" s="23">
        <v>0</v>
      </c>
      <c r="BX5" s="23">
        <v>0</v>
      </c>
      <c r="BY5" s="23">
        <v>0</v>
      </c>
      <c r="BZ5" s="23"/>
      <c r="CA5" s="23">
        <v>0</v>
      </c>
      <c r="CB5" s="23">
        <f>SUM(BS5:CA5)</f>
        <v>172</v>
      </c>
      <c r="CF5" s="23">
        <v>1</v>
      </c>
      <c r="CG5" s="23" t="s">
        <v>240</v>
      </c>
      <c r="CH5" s="23" t="s">
        <v>241</v>
      </c>
      <c r="CI5" s="23">
        <v>12</v>
      </c>
      <c r="CJ5" s="23">
        <v>5</v>
      </c>
      <c r="CK5" s="23">
        <v>7</v>
      </c>
      <c r="CL5" s="23">
        <v>9</v>
      </c>
      <c r="CM5" s="23">
        <v>12</v>
      </c>
      <c r="CN5" s="23">
        <v>19</v>
      </c>
      <c r="CO5" s="23"/>
      <c r="CP5" s="23"/>
      <c r="CQ5" s="23"/>
      <c r="CR5" s="23"/>
      <c r="CS5" s="23"/>
      <c r="CT5" s="23"/>
      <c r="CU5" s="23">
        <v>64</v>
      </c>
      <c r="CV5" s="2"/>
      <c r="CW5" s="2"/>
      <c r="CX5" s="23">
        <v>1</v>
      </c>
      <c r="CY5" s="23" t="s">
        <v>240</v>
      </c>
      <c r="CZ5" s="23" t="s">
        <v>241</v>
      </c>
      <c r="DA5" s="23">
        <v>61</v>
      </c>
      <c r="DB5" s="23">
        <v>0</v>
      </c>
      <c r="DC5" s="23">
        <v>0</v>
      </c>
      <c r="DD5" s="23">
        <v>3</v>
      </c>
      <c r="DE5" s="23">
        <v>0</v>
      </c>
      <c r="DF5" s="23">
        <v>0</v>
      </c>
      <c r="DG5" s="23">
        <v>0</v>
      </c>
      <c r="DH5" s="23"/>
      <c r="DI5" s="23"/>
      <c r="DJ5" s="23">
        <v>64</v>
      </c>
    </row>
    <row r="6" spans="1:114">
      <c r="A6" s="1" t="s">
        <v>308</v>
      </c>
      <c r="B6" s="1" t="s">
        <v>27</v>
      </c>
      <c r="C6" s="1" t="s">
        <v>27</v>
      </c>
      <c r="D6" s="1" t="s">
        <v>117</v>
      </c>
      <c r="E6" s="1" t="s">
        <v>117</v>
      </c>
      <c r="F6" s="1" t="s">
        <v>117</v>
      </c>
      <c r="N6" s="27">
        <v>2</v>
      </c>
      <c r="O6" s="27" t="s">
        <v>117</v>
      </c>
      <c r="P6" s="27" t="s">
        <v>294</v>
      </c>
      <c r="Q6" s="27">
        <v>5</v>
      </c>
      <c r="R6" s="27">
        <v>4</v>
      </c>
      <c r="S6" s="27">
        <v>13</v>
      </c>
      <c r="T6" s="27">
        <v>10</v>
      </c>
      <c r="U6" s="27">
        <v>13</v>
      </c>
      <c r="V6" s="27">
        <v>10</v>
      </c>
      <c r="W6" s="27"/>
      <c r="X6" s="27"/>
      <c r="Y6" s="27"/>
      <c r="Z6" s="27"/>
      <c r="AA6" s="27"/>
      <c r="AB6" s="27"/>
      <c r="AC6" s="28">
        <v>55</v>
      </c>
      <c r="AD6" s="25"/>
      <c r="AE6" s="26"/>
      <c r="AF6" s="2"/>
      <c r="AG6" s="27">
        <v>2</v>
      </c>
      <c r="AH6" s="27" t="s">
        <v>117</v>
      </c>
      <c r="AI6" s="27" t="s">
        <v>294</v>
      </c>
      <c r="AJ6" s="27">
        <v>43</v>
      </c>
      <c r="AK6" s="27">
        <v>3</v>
      </c>
      <c r="AL6" s="27">
        <v>0</v>
      </c>
      <c r="AM6" s="27">
        <v>0</v>
      </c>
      <c r="AN6" s="27">
        <v>9</v>
      </c>
      <c r="AO6" s="27">
        <v>0</v>
      </c>
      <c r="AP6" s="27">
        <v>0</v>
      </c>
      <c r="AQ6" s="27">
        <v>0</v>
      </c>
      <c r="AR6" s="27"/>
      <c r="AS6" s="27">
        <v>0</v>
      </c>
      <c r="AT6" s="27">
        <f>SUM(AJ6:AS6)</f>
        <v>55</v>
      </c>
      <c r="AX6" s="27">
        <v>2</v>
      </c>
      <c r="AY6" s="27" t="s">
        <v>320</v>
      </c>
      <c r="AZ6" s="27" t="s">
        <v>321</v>
      </c>
      <c r="BA6" s="27">
        <v>8</v>
      </c>
      <c r="BB6" s="27">
        <v>11</v>
      </c>
      <c r="BC6" s="27">
        <v>7</v>
      </c>
      <c r="BD6" s="27">
        <v>20</v>
      </c>
      <c r="BE6" s="27">
        <v>38</v>
      </c>
      <c r="BF6" s="27">
        <v>32</v>
      </c>
      <c r="BG6" s="27"/>
      <c r="BH6" s="27"/>
      <c r="BI6" s="27"/>
      <c r="BJ6" s="27"/>
      <c r="BK6" s="27"/>
      <c r="BL6" s="27"/>
      <c r="BM6" s="27">
        <v>116</v>
      </c>
      <c r="BN6" s="2"/>
      <c r="BO6" s="2"/>
      <c r="BP6" s="27">
        <v>2</v>
      </c>
      <c r="BQ6" s="27" t="s">
        <v>320</v>
      </c>
      <c r="BR6" s="27" t="s">
        <v>321</v>
      </c>
      <c r="BS6" s="27">
        <v>100</v>
      </c>
      <c r="BT6" s="27">
        <v>0</v>
      </c>
      <c r="BU6" s="27">
        <v>8</v>
      </c>
      <c r="BV6" s="27">
        <v>8</v>
      </c>
      <c r="BW6" s="27">
        <v>0</v>
      </c>
      <c r="BX6" s="27">
        <v>0</v>
      </c>
      <c r="BY6" s="27">
        <v>0</v>
      </c>
      <c r="BZ6" s="27"/>
      <c r="CA6" s="27">
        <v>0</v>
      </c>
      <c r="CB6" s="27">
        <f>SUM(BS6:CA6)</f>
        <v>116</v>
      </c>
      <c r="CF6" s="27">
        <v>2</v>
      </c>
      <c r="CG6" s="27" t="s">
        <v>51</v>
      </c>
      <c r="CH6" s="27" t="s">
        <v>246</v>
      </c>
      <c r="CI6" s="27">
        <v>2</v>
      </c>
      <c r="CJ6" s="27">
        <v>12</v>
      </c>
      <c r="CK6" s="27">
        <v>12</v>
      </c>
      <c r="CL6" s="27">
        <v>8</v>
      </c>
      <c r="CM6" s="27">
        <v>10</v>
      </c>
      <c r="CN6" s="27">
        <v>17</v>
      </c>
      <c r="CO6" s="27"/>
      <c r="CP6" s="27"/>
      <c r="CQ6" s="27"/>
      <c r="CR6" s="27"/>
      <c r="CS6" s="27"/>
      <c r="CT6" s="27"/>
      <c r="CU6" s="27">
        <v>61</v>
      </c>
      <c r="CV6" s="2"/>
      <c r="CW6" s="2"/>
      <c r="CX6" s="27">
        <v>2</v>
      </c>
      <c r="CY6" s="27" t="s">
        <v>51</v>
      </c>
      <c r="CZ6" s="27" t="s">
        <v>246</v>
      </c>
      <c r="DA6" s="27">
        <v>45</v>
      </c>
      <c r="DB6" s="27">
        <v>0</v>
      </c>
      <c r="DC6" s="27">
        <v>5</v>
      </c>
      <c r="DD6" s="27">
        <v>11</v>
      </c>
      <c r="DE6" s="27">
        <v>0</v>
      </c>
      <c r="DF6" s="27">
        <v>0</v>
      </c>
      <c r="DG6" s="27">
        <v>0</v>
      </c>
      <c r="DH6" s="27"/>
      <c r="DI6" s="27"/>
      <c r="DJ6" s="27">
        <v>61</v>
      </c>
    </row>
    <row r="7" spans="1:114">
      <c r="A7" s="1" t="s">
        <v>137</v>
      </c>
      <c r="B7" s="1" t="s">
        <v>161</v>
      </c>
      <c r="C7" s="1" t="s">
        <v>117</v>
      </c>
      <c r="D7" s="1" t="s">
        <v>27</v>
      </c>
      <c r="E7" s="1" t="s">
        <v>264</v>
      </c>
      <c r="F7" s="1" t="s">
        <v>379</v>
      </c>
      <c r="N7" s="23">
        <v>3</v>
      </c>
      <c r="O7" s="23" t="s">
        <v>379</v>
      </c>
      <c r="P7" s="23" t="s">
        <v>380</v>
      </c>
      <c r="Q7" s="23">
        <v>1</v>
      </c>
      <c r="R7" s="23">
        <v>1</v>
      </c>
      <c r="S7" s="23">
        <v>8</v>
      </c>
      <c r="T7" s="23">
        <v>10</v>
      </c>
      <c r="U7" s="23">
        <v>11</v>
      </c>
      <c r="V7" s="23">
        <v>20</v>
      </c>
      <c r="W7" s="23"/>
      <c r="X7" s="23"/>
      <c r="Y7" s="23"/>
      <c r="Z7" s="23"/>
      <c r="AA7" s="23"/>
      <c r="AB7" s="23"/>
      <c r="AC7" s="24">
        <v>51</v>
      </c>
      <c r="AD7" s="25"/>
      <c r="AE7" s="26"/>
      <c r="AF7" s="2"/>
      <c r="AG7" s="23">
        <v>3</v>
      </c>
      <c r="AH7" s="23" t="s">
        <v>379</v>
      </c>
      <c r="AI7" s="23" t="s">
        <v>380</v>
      </c>
      <c r="AJ7" s="23">
        <v>46</v>
      </c>
      <c r="AK7" s="23">
        <v>0</v>
      </c>
      <c r="AL7" s="23">
        <v>0</v>
      </c>
      <c r="AM7" s="23">
        <v>2</v>
      </c>
      <c r="AN7" s="23">
        <v>2</v>
      </c>
      <c r="AO7" s="23">
        <v>0</v>
      </c>
      <c r="AP7" s="23">
        <v>0</v>
      </c>
      <c r="AQ7" s="23">
        <v>0</v>
      </c>
      <c r="AR7" s="23"/>
      <c r="AS7" s="23">
        <v>1</v>
      </c>
      <c r="AT7" s="23">
        <f t="shared" ref="AT7:AT54" si="0">SUM(AJ7:AS7)</f>
        <v>51</v>
      </c>
      <c r="AX7" s="23">
        <v>3</v>
      </c>
      <c r="AY7" s="23" t="s">
        <v>311</v>
      </c>
      <c r="AZ7" s="23" t="s">
        <v>312</v>
      </c>
      <c r="BA7" s="23">
        <v>17</v>
      </c>
      <c r="BB7" s="23">
        <v>43</v>
      </c>
      <c r="BC7" s="23">
        <v>19</v>
      </c>
      <c r="BD7" s="23">
        <v>1</v>
      </c>
      <c r="BE7" s="23">
        <v>7</v>
      </c>
      <c r="BF7" s="23">
        <v>27</v>
      </c>
      <c r="BG7" s="23"/>
      <c r="BH7" s="23"/>
      <c r="BI7" s="23"/>
      <c r="BJ7" s="23"/>
      <c r="BK7" s="23"/>
      <c r="BL7" s="23"/>
      <c r="BM7" s="23">
        <v>114</v>
      </c>
      <c r="BN7" s="2"/>
      <c r="BO7" s="2"/>
      <c r="BP7" s="23">
        <v>3</v>
      </c>
      <c r="BQ7" s="23" t="s">
        <v>311</v>
      </c>
      <c r="BR7" s="23" t="s">
        <v>312</v>
      </c>
      <c r="BS7" s="23">
        <v>84</v>
      </c>
      <c r="BT7" s="23">
        <v>0</v>
      </c>
      <c r="BU7" s="23">
        <v>29</v>
      </c>
      <c r="BV7" s="23">
        <v>0</v>
      </c>
      <c r="BW7" s="23">
        <v>0</v>
      </c>
      <c r="BX7" s="23">
        <v>1</v>
      </c>
      <c r="BY7" s="23">
        <v>0</v>
      </c>
      <c r="BZ7" s="23"/>
      <c r="CA7" s="23">
        <v>0</v>
      </c>
      <c r="CB7" s="23">
        <f t="shared" ref="CB7:CB54" si="1">SUM(BS7:CA7)</f>
        <v>114</v>
      </c>
      <c r="CF7" s="23">
        <v>3</v>
      </c>
      <c r="CG7" s="23" t="s">
        <v>35</v>
      </c>
      <c r="CH7" s="23" t="s">
        <v>278</v>
      </c>
      <c r="CI7" s="23">
        <v>6</v>
      </c>
      <c r="CJ7" s="23">
        <v>2</v>
      </c>
      <c r="CK7" s="23">
        <v>9</v>
      </c>
      <c r="CL7" s="23">
        <v>7</v>
      </c>
      <c r="CM7" s="23">
        <v>11</v>
      </c>
      <c r="CN7" s="23">
        <v>15</v>
      </c>
      <c r="CO7" s="23"/>
      <c r="CP7" s="23"/>
      <c r="CQ7" s="23"/>
      <c r="CR7" s="23"/>
      <c r="CS7" s="23"/>
      <c r="CT7" s="23"/>
      <c r="CU7" s="23">
        <v>50</v>
      </c>
      <c r="CV7" s="2"/>
      <c r="CW7" s="2"/>
      <c r="CX7" s="23">
        <v>3</v>
      </c>
      <c r="CY7" s="23" t="s">
        <v>35</v>
      </c>
      <c r="CZ7" s="23" t="s">
        <v>278</v>
      </c>
      <c r="DA7" s="23">
        <v>44</v>
      </c>
      <c r="DB7" s="23">
        <v>0</v>
      </c>
      <c r="DC7" s="23">
        <v>0</v>
      </c>
      <c r="DD7" s="23">
        <v>6</v>
      </c>
      <c r="DE7" s="23">
        <v>0</v>
      </c>
      <c r="DF7" s="23">
        <v>0</v>
      </c>
      <c r="DG7" s="23">
        <v>0</v>
      </c>
      <c r="DH7" s="23"/>
      <c r="DI7" s="23"/>
      <c r="DJ7" s="23">
        <v>50</v>
      </c>
    </row>
    <row r="8" spans="1:114">
      <c r="A8" s="1" t="s">
        <v>313</v>
      </c>
      <c r="B8" s="1" t="s">
        <v>51</v>
      </c>
      <c r="C8" s="1" t="s">
        <v>18</v>
      </c>
      <c r="D8" s="1" t="s">
        <v>18</v>
      </c>
      <c r="E8" s="1" t="s">
        <v>18</v>
      </c>
      <c r="F8" s="1" t="s">
        <v>35</v>
      </c>
      <c r="N8" s="27">
        <v>4</v>
      </c>
      <c r="O8" s="27" t="s">
        <v>35</v>
      </c>
      <c r="P8" s="27" t="s">
        <v>278</v>
      </c>
      <c r="Q8" s="27">
        <v>5</v>
      </c>
      <c r="R8" s="27">
        <v>2</v>
      </c>
      <c r="S8" s="27">
        <v>8</v>
      </c>
      <c r="T8" s="27">
        <v>10</v>
      </c>
      <c r="U8" s="27">
        <v>11</v>
      </c>
      <c r="V8" s="27">
        <v>14</v>
      </c>
      <c r="W8" s="27"/>
      <c r="X8" s="27"/>
      <c r="Y8" s="27"/>
      <c r="Z8" s="27"/>
      <c r="AA8" s="27"/>
      <c r="AB8" s="27"/>
      <c r="AC8" s="28">
        <v>50</v>
      </c>
      <c r="AD8" s="25"/>
      <c r="AE8" s="26"/>
      <c r="AF8" s="2"/>
      <c r="AG8" s="27">
        <v>4</v>
      </c>
      <c r="AH8" s="27" t="s">
        <v>35</v>
      </c>
      <c r="AI8" s="27" t="s">
        <v>278</v>
      </c>
      <c r="AJ8" s="27">
        <v>47</v>
      </c>
      <c r="AK8" s="27">
        <v>0</v>
      </c>
      <c r="AL8" s="27">
        <v>0</v>
      </c>
      <c r="AM8" s="27">
        <v>0</v>
      </c>
      <c r="AN8" s="27">
        <v>3</v>
      </c>
      <c r="AO8" s="27">
        <v>0</v>
      </c>
      <c r="AP8" s="27">
        <v>0</v>
      </c>
      <c r="AQ8" s="27">
        <v>0</v>
      </c>
      <c r="AR8" s="27"/>
      <c r="AS8" s="27">
        <v>0</v>
      </c>
      <c r="AT8" s="27">
        <f t="shared" si="0"/>
        <v>50</v>
      </c>
      <c r="AX8" s="27">
        <v>4</v>
      </c>
      <c r="AY8" s="27" t="s">
        <v>309</v>
      </c>
      <c r="AZ8" s="27" t="s">
        <v>310</v>
      </c>
      <c r="BA8" s="27">
        <v>19</v>
      </c>
      <c r="BB8" s="27">
        <v>11</v>
      </c>
      <c r="BC8" s="27">
        <v>5</v>
      </c>
      <c r="BD8" s="27">
        <v>15</v>
      </c>
      <c r="BE8" s="27">
        <v>16</v>
      </c>
      <c r="BF8" s="27">
        <v>27</v>
      </c>
      <c r="BG8" s="27"/>
      <c r="BH8" s="27"/>
      <c r="BI8" s="27"/>
      <c r="BJ8" s="27"/>
      <c r="BK8" s="27"/>
      <c r="BL8" s="27"/>
      <c r="BM8" s="27">
        <v>93</v>
      </c>
      <c r="BN8" s="2"/>
      <c r="BO8" s="2"/>
      <c r="BP8" s="27">
        <v>4</v>
      </c>
      <c r="BQ8" s="27" t="s">
        <v>309</v>
      </c>
      <c r="BR8" s="27" t="s">
        <v>310</v>
      </c>
      <c r="BS8" s="27">
        <v>91</v>
      </c>
      <c r="BT8" s="27">
        <v>0</v>
      </c>
      <c r="BU8" s="27">
        <v>2</v>
      </c>
      <c r="BV8" s="27">
        <v>0</v>
      </c>
      <c r="BW8" s="27">
        <v>0</v>
      </c>
      <c r="BX8" s="27">
        <v>0</v>
      </c>
      <c r="BY8" s="27">
        <v>0</v>
      </c>
      <c r="BZ8" s="27"/>
      <c r="CA8" s="27">
        <v>0</v>
      </c>
      <c r="CB8" s="27">
        <f t="shared" si="1"/>
        <v>93</v>
      </c>
      <c r="CF8" s="27">
        <v>4</v>
      </c>
      <c r="CG8" s="27" t="s">
        <v>18</v>
      </c>
      <c r="CH8" s="27" t="s">
        <v>283</v>
      </c>
      <c r="CI8" s="27">
        <v>2</v>
      </c>
      <c r="CJ8" s="27">
        <v>8</v>
      </c>
      <c r="CK8" s="27">
        <v>6</v>
      </c>
      <c r="CL8" s="27">
        <v>9</v>
      </c>
      <c r="CM8" s="27">
        <v>11</v>
      </c>
      <c r="CN8" s="27">
        <v>12</v>
      </c>
      <c r="CO8" s="27"/>
      <c r="CP8" s="27"/>
      <c r="CQ8" s="27"/>
      <c r="CR8" s="27"/>
      <c r="CS8" s="27"/>
      <c r="CT8" s="27"/>
      <c r="CU8" s="27">
        <v>48</v>
      </c>
      <c r="CV8" s="2"/>
      <c r="CW8" s="2"/>
      <c r="CX8" s="27">
        <v>4</v>
      </c>
      <c r="CY8" s="27" t="s">
        <v>18</v>
      </c>
      <c r="CZ8" s="27" t="s">
        <v>283</v>
      </c>
      <c r="DA8" s="27">
        <v>38</v>
      </c>
      <c r="DB8" s="27">
        <v>1</v>
      </c>
      <c r="DC8" s="27">
        <v>6</v>
      </c>
      <c r="DD8" s="27">
        <v>3</v>
      </c>
      <c r="DE8" s="27">
        <v>0</v>
      </c>
      <c r="DF8" s="27">
        <v>0</v>
      </c>
      <c r="DG8" s="27">
        <v>0</v>
      </c>
      <c r="DH8" s="27"/>
      <c r="DI8" s="27"/>
      <c r="DJ8" s="27">
        <v>48</v>
      </c>
    </row>
    <row r="9" spans="1:114">
      <c r="A9" s="1" t="s">
        <v>18</v>
      </c>
      <c r="B9" s="1" t="s">
        <v>133</v>
      </c>
      <c r="C9" s="1" t="s">
        <v>161</v>
      </c>
      <c r="D9" s="1" t="s">
        <v>35</v>
      </c>
      <c r="E9" s="1" t="s">
        <v>35</v>
      </c>
      <c r="F9" s="1" t="s">
        <v>18</v>
      </c>
      <c r="N9" s="23">
        <v>5</v>
      </c>
      <c r="O9" s="23" t="s">
        <v>18</v>
      </c>
      <c r="P9" s="23" t="s">
        <v>283</v>
      </c>
      <c r="Q9" s="23">
        <v>5</v>
      </c>
      <c r="R9" s="23">
        <v>3</v>
      </c>
      <c r="S9" s="23">
        <v>11</v>
      </c>
      <c r="T9" s="23">
        <v>10</v>
      </c>
      <c r="U9" s="23">
        <v>11</v>
      </c>
      <c r="V9" s="23">
        <v>8</v>
      </c>
      <c r="W9" s="23"/>
      <c r="X9" s="23"/>
      <c r="Y9" s="23"/>
      <c r="Z9" s="23"/>
      <c r="AA9" s="23"/>
      <c r="AB9" s="23"/>
      <c r="AC9" s="24">
        <v>48</v>
      </c>
      <c r="AD9" s="25"/>
      <c r="AE9" s="26"/>
      <c r="AF9" s="2"/>
      <c r="AG9" s="23">
        <v>5</v>
      </c>
      <c r="AH9" s="23" t="s">
        <v>18</v>
      </c>
      <c r="AI9" s="23" t="s">
        <v>283</v>
      </c>
      <c r="AJ9" s="23">
        <v>41</v>
      </c>
      <c r="AK9" s="23">
        <v>3</v>
      </c>
      <c r="AL9" s="23">
        <v>0</v>
      </c>
      <c r="AM9" s="23">
        <v>0</v>
      </c>
      <c r="AN9" s="23">
        <v>4</v>
      </c>
      <c r="AO9" s="23">
        <v>0</v>
      </c>
      <c r="AP9" s="23">
        <v>0</v>
      </c>
      <c r="AQ9" s="23">
        <v>0</v>
      </c>
      <c r="AR9" s="23"/>
      <c r="AS9" s="23">
        <v>0</v>
      </c>
      <c r="AT9" s="23">
        <f t="shared" si="0"/>
        <v>48</v>
      </c>
      <c r="AX9" s="23">
        <v>5</v>
      </c>
      <c r="AY9" s="23" t="s">
        <v>314</v>
      </c>
      <c r="AZ9" s="23" t="s">
        <v>315</v>
      </c>
      <c r="BA9" s="23">
        <v>15</v>
      </c>
      <c r="BB9" s="23">
        <v>38</v>
      </c>
      <c r="BC9" s="23">
        <v>23</v>
      </c>
      <c r="BD9" s="23">
        <v>0</v>
      </c>
      <c r="BE9" s="23">
        <v>6</v>
      </c>
      <c r="BF9" s="23">
        <v>7</v>
      </c>
      <c r="BG9" s="23"/>
      <c r="BH9" s="23"/>
      <c r="BI9" s="23"/>
      <c r="BJ9" s="23"/>
      <c r="BK9" s="23"/>
      <c r="BL9" s="23"/>
      <c r="BM9" s="23">
        <v>89</v>
      </c>
      <c r="BN9" s="2"/>
      <c r="BO9" s="2"/>
      <c r="BP9" s="23">
        <v>5</v>
      </c>
      <c r="BQ9" s="23" t="s">
        <v>314</v>
      </c>
      <c r="BR9" s="23" t="s">
        <v>315</v>
      </c>
      <c r="BS9" s="23">
        <v>68</v>
      </c>
      <c r="BT9" s="23">
        <v>0</v>
      </c>
      <c r="BU9" s="23">
        <v>21</v>
      </c>
      <c r="BV9" s="23">
        <v>0</v>
      </c>
      <c r="BW9" s="23">
        <v>0</v>
      </c>
      <c r="BX9" s="23">
        <v>0</v>
      </c>
      <c r="BY9" s="23">
        <v>0</v>
      </c>
      <c r="BZ9" s="23"/>
      <c r="CA9" s="23">
        <v>0</v>
      </c>
      <c r="CB9" s="23">
        <f t="shared" si="1"/>
        <v>89</v>
      </c>
      <c r="CF9" s="23">
        <v>5</v>
      </c>
      <c r="CG9" s="23" t="s">
        <v>172</v>
      </c>
      <c r="CH9" s="23" t="s">
        <v>351</v>
      </c>
      <c r="CI9" s="23">
        <v>0</v>
      </c>
      <c r="CJ9" s="23">
        <v>5</v>
      </c>
      <c r="CK9" s="23">
        <v>13</v>
      </c>
      <c r="CL9" s="23">
        <v>3</v>
      </c>
      <c r="CM9" s="23">
        <v>7</v>
      </c>
      <c r="CN9" s="23">
        <v>17</v>
      </c>
      <c r="CO9" s="23"/>
      <c r="CP9" s="23"/>
      <c r="CQ9" s="23"/>
      <c r="CR9" s="23"/>
      <c r="CS9" s="23"/>
      <c r="CT9" s="23"/>
      <c r="CU9" s="23">
        <v>45</v>
      </c>
      <c r="CV9" s="2"/>
      <c r="CW9" s="2"/>
      <c r="CX9" s="23">
        <v>5</v>
      </c>
      <c r="CY9" s="23" t="s">
        <v>172</v>
      </c>
      <c r="CZ9" s="23" t="s">
        <v>351</v>
      </c>
      <c r="DA9" s="23">
        <v>37</v>
      </c>
      <c r="DB9" s="23">
        <v>0</v>
      </c>
      <c r="DC9" s="23">
        <v>8</v>
      </c>
      <c r="DD9" s="23">
        <v>0</v>
      </c>
      <c r="DE9" s="23">
        <v>0</v>
      </c>
      <c r="DF9" s="23">
        <v>0</v>
      </c>
      <c r="DG9" s="23">
        <v>0</v>
      </c>
      <c r="DH9" s="23"/>
      <c r="DI9" s="23"/>
      <c r="DJ9" s="23">
        <v>45</v>
      </c>
    </row>
    <row r="10" spans="1:114">
      <c r="A10" s="1" t="s">
        <v>117</v>
      </c>
      <c r="B10" s="1" t="s">
        <v>334</v>
      </c>
      <c r="C10" s="1" t="s">
        <v>336</v>
      </c>
      <c r="D10" s="1" t="s">
        <v>51</v>
      </c>
      <c r="E10" s="1" t="s">
        <v>236</v>
      </c>
      <c r="F10" s="1" t="s">
        <v>240</v>
      </c>
      <c r="N10" s="27">
        <v>6</v>
      </c>
      <c r="O10" s="27" t="s">
        <v>240</v>
      </c>
      <c r="P10" s="27" t="s">
        <v>241</v>
      </c>
      <c r="Q10" s="27">
        <v>3</v>
      </c>
      <c r="R10" s="27">
        <v>2</v>
      </c>
      <c r="S10" s="27">
        <v>7</v>
      </c>
      <c r="T10" s="27">
        <v>6</v>
      </c>
      <c r="U10" s="27">
        <v>11</v>
      </c>
      <c r="V10" s="27">
        <v>18</v>
      </c>
      <c r="W10" s="27"/>
      <c r="X10" s="27"/>
      <c r="Y10" s="27"/>
      <c r="Z10" s="27"/>
      <c r="AA10" s="27"/>
      <c r="AB10" s="27"/>
      <c r="AC10" s="28">
        <v>47</v>
      </c>
      <c r="AD10" s="25"/>
      <c r="AE10" s="26"/>
      <c r="AF10" s="2"/>
      <c r="AG10" s="27">
        <v>6</v>
      </c>
      <c r="AH10" s="27" t="s">
        <v>240</v>
      </c>
      <c r="AI10" s="27" t="s">
        <v>241</v>
      </c>
      <c r="AJ10" s="27">
        <v>46</v>
      </c>
      <c r="AK10" s="27">
        <v>0</v>
      </c>
      <c r="AL10" s="27">
        <v>0</v>
      </c>
      <c r="AM10" s="27">
        <v>0</v>
      </c>
      <c r="AN10" s="27">
        <v>1</v>
      </c>
      <c r="AO10" s="27">
        <v>0</v>
      </c>
      <c r="AP10" s="27">
        <v>0</v>
      </c>
      <c r="AQ10" s="27">
        <v>0</v>
      </c>
      <c r="AR10" s="27"/>
      <c r="AS10" s="27">
        <v>0</v>
      </c>
      <c r="AT10" s="27">
        <f t="shared" si="0"/>
        <v>47</v>
      </c>
      <c r="AX10" s="27">
        <v>6</v>
      </c>
      <c r="AY10" s="27" t="s">
        <v>51</v>
      </c>
      <c r="AZ10" s="27" t="s">
        <v>246</v>
      </c>
      <c r="BA10" s="27">
        <v>2</v>
      </c>
      <c r="BB10" s="27">
        <v>9</v>
      </c>
      <c r="BC10" s="27">
        <v>6</v>
      </c>
      <c r="BD10" s="27">
        <v>11</v>
      </c>
      <c r="BE10" s="27">
        <v>33</v>
      </c>
      <c r="BF10" s="27">
        <v>25</v>
      </c>
      <c r="BG10" s="27"/>
      <c r="BH10" s="27"/>
      <c r="BI10" s="27"/>
      <c r="BJ10" s="27"/>
      <c r="BK10" s="27"/>
      <c r="BL10" s="27"/>
      <c r="BM10" s="27">
        <v>86</v>
      </c>
      <c r="BN10" s="2"/>
      <c r="BO10" s="2"/>
      <c r="BP10" s="27">
        <v>6</v>
      </c>
      <c r="BQ10" s="27" t="s">
        <v>51</v>
      </c>
      <c r="BR10" s="27" t="s">
        <v>246</v>
      </c>
      <c r="BS10" s="27">
        <v>66</v>
      </c>
      <c r="BT10" s="27">
        <v>0</v>
      </c>
      <c r="BU10" s="27">
        <v>7</v>
      </c>
      <c r="BV10" s="27">
        <v>13</v>
      </c>
      <c r="BW10" s="27">
        <v>0</v>
      </c>
      <c r="BX10" s="27">
        <v>0</v>
      </c>
      <c r="BY10" s="27">
        <v>0</v>
      </c>
      <c r="BZ10" s="27"/>
      <c r="CA10" s="27">
        <v>0</v>
      </c>
      <c r="CB10" s="27">
        <f t="shared" si="1"/>
        <v>86</v>
      </c>
      <c r="CF10" s="27">
        <v>6</v>
      </c>
      <c r="CG10" s="27" t="s">
        <v>181</v>
      </c>
      <c r="CH10" s="27" t="s">
        <v>369</v>
      </c>
      <c r="CI10" s="27">
        <v>0</v>
      </c>
      <c r="CJ10" s="27">
        <v>3</v>
      </c>
      <c r="CK10" s="27">
        <v>4</v>
      </c>
      <c r="CL10" s="27">
        <v>10</v>
      </c>
      <c r="CM10" s="27">
        <v>8</v>
      </c>
      <c r="CN10" s="27">
        <v>12</v>
      </c>
      <c r="CO10" s="27"/>
      <c r="CP10" s="27"/>
      <c r="CQ10" s="27"/>
      <c r="CR10" s="27"/>
      <c r="CS10" s="27"/>
      <c r="CT10" s="27"/>
      <c r="CU10" s="27">
        <v>37</v>
      </c>
      <c r="CV10" s="2"/>
      <c r="CW10" s="2"/>
      <c r="CX10" s="27">
        <v>6</v>
      </c>
      <c r="CY10" s="27" t="s">
        <v>181</v>
      </c>
      <c r="CZ10" s="27" t="s">
        <v>369</v>
      </c>
      <c r="DA10" s="27">
        <v>33</v>
      </c>
      <c r="DB10" s="27">
        <v>0</v>
      </c>
      <c r="DC10" s="27">
        <v>0</v>
      </c>
      <c r="DD10" s="27">
        <v>4</v>
      </c>
      <c r="DE10" s="27">
        <v>0</v>
      </c>
      <c r="DF10" s="27">
        <v>0</v>
      </c>
      <c r="DG10" s="27">
        <v>0</v>
      </c>
      <c r="DH10" s="27"/>
      <c r="DI10" s="27"/>
      <c r="DJ10" s="27">
        <v>37</v>
      </c>
    </row>
    <row r="11" spans="1:114">
      <c r="A11" s="1" t="s">
        <v>35</v>
      </c>
      <c r="B11" s="1" t="s">
        <v>117</v>
      </c>
      <c r="C11" s="1" t="s">
        <v>35</v>
      </c>
      <c r="D11" s="1" t="s">
        <v>395</v>
      </c>
      <c r="E11" s="1" t="s">
        <v>358</v>
      </c>
      <c r="F11" s="1" t="s">
        <v>264</v>
      </c>
      <c r="N11" s="23">
        <v>7</v>
      </c>
      <c r="O11" s="23" t="s">
        <v>264</v>
      </c>
      <c r="P11" s="23" t="s">
        <v>333</v>
      </c>
      <c r="Q11" s="23">
        <v>2</v>
      </c>
      <c r="R11" s="23">
        <v>29</v>
      </c>
      <c r="S11" s="23">
        <v>1</v>
      </c>
      <c r="T11" s="23">
        <v>3</v>
      </c>
      <c r="U11" s="23">
        <v>7</v>
      </c>
      <c r="V11" s="23">
        <v>2</v>
      </c>
      <c r="W11" s="23"/>
      <c r="X11" s="23"/>
      <c r="Y11" s="23"/>
      <c r="Z11" s="23"/>
      <c r="AA11" s="23"/>
      <c r="AB11" s="23"/>
      <c r="AC11" s="24">
        <v>44</v>
      </c>
      <c r="AD11" s="25"/>
      <c r="AE11" s="26"/>
      <c r="AF11" s="2"/>
      <c r="AG11" s="23">
        <v>7</v>
      </c>
      <c r="AH11" s="23" t="s">
        <v>264</v>
      </c>
      <c r="AI11" s="23" t="s">
        <v>333</v>
      </c>
      <c r="AJ11" s="23">
        <v>38</v>
      </c>
      <c r="AK11" s="23">
        <v>0</v>
      </c>
      <c r="AL11" s="23">
        <v>0</v>
      </c>
      <c r="AM11" s="23">
        <v>5</v>
      </c>
      <c r="AN11" s="23">
        <v>0</v>
      </c>
      <c r="AO11" s="23">
        <v>0</v>
      </c>
      <c r="AP11" s="23">
        <v>1</v>
      </c>
      <c r="AQ11" s="23">
        <v>0</v>
      </c>
      <c r="AR11" s="23"/>
      <c r="AS11" s="23">
        <v>0</v>
      </c>
      <c r="AT11" s="23">
        <f t="shared" si="0"/>
        <v>44</v>
      </c>
      <c r="AX11" s="23">
        <v>7</v>
      </c>
      <c r="AY11" s="23" t="s">
        <v>371</v>
      </c>
      <c r="AZ11" s="23" t="s">
        <v>372</v>
      </c>
      <c r="BA11" s="23">
        <v>0</v>
      </c>
      <c r="BB11" s="23">
        <v>5</v>
      </c>
      <c r="BC11" s="23">
        <v>14</v>
      </c>
      <c r="BD11" s="23">
        <v>12</v>
      </c>
      <c r="BE11" s="23">
        <v>15</v>
      </c>
      <c r="BF11" s="23">
        <v>30</v>
      </c>
      <c r="BG11" s="23"/>
      <c r="BH11" s="23"/>
      <c r="BI11" s="23"/>
      <c r="BJ11" s="23"/>
      <c r="BK11" s="23"/>
      <c r="BL11" s="23"/>
      <c r="BM11" s="23">
        <v>76</v>
      </c>
      <c r="BN11" s="2"/>
      <c r="BO11" s="2"/>
      <c r="BP11" s="23">
        <v>7</v>
      </c>
      <c r="BQ11" s="23" t="s">
        <v>371</v>
      </c>
      <c r="BR11" s="23" t="s">
        <v>372</v>
      </c>
      <c r="BS11" s="23">
        <v>72</v>
      </c>
      <c r="BT11" s="23">
        <v>0</v>
      </c>
      <c r="BU11" s="23">
        <v>2</v>
      </c>
      <c r="BV11" s="23">
        <v>2</v>
      </c>
      <c r="BW11" s="23">
        <v>0</v>
      </c>
      <c r="BX11" s="23">
        <v>0</v>
      </c>
      <c r="BY11" s="23">
        <v>0</v>
      </c>
      <c r="BZ11" s="23"/>
      <c r="CA11" s="23">
        <v>0</v>
      </c>
      <c r="CB11" s="23">
        <f t="shared" si="1"/>
        <v>76</v>
      </c>
      <c r="CF11" s="23">
        <v>7</v>
      </c>
      <c r="CG11" s="23" t="s">
        <v>184</v>
      </c>
      <c r="CH11" s="23" t="s">
        <v>189</v>
      </c>
      <c r="CI11" s="23">
        <v>1</v>
      </c>
      <c r="CJ11" s="23">
        <v>1</v>
      </c>
      <c r="CK11" s="23">
        <v>6</v>
      </c>
      <c r="CL11" s="23">
        <v>7</v>
      </c>
      <c r="CM11" s="23">
        <v>7</v>
      </c>
      <c r="CN11" s="23">
        <v>15</v>
      </c>
      <c r="CO11" s="23"/>
      <c r="CP11" s="23"/>
      <c r="CQ11" s="23"/>
      <c r="CR11" s="23"/>
      <c r="CS11" s="23"/>
      <c r="CT11" s="23"/>
      <c r="CU11" s="23">
        <v>37</v>
      </c>
      <c r="CV11" s="2"/>
      <c r="CW11" s="2"/>
      <c r="CX11" s="23">
        <v>7</v>
      </c>
      <c r="CY11" s="23" t="s">
        <v>184</v>
      </c>
      <c r="CZ11" s="23" t="s">
        <v>189</v>
      </c>
      <c r="DA11" s="23">
        <v>34</v>
      </c>
      <c r="DB11" s="23">
        <v>0</v>
      </c>
      <c r="DC11" s="23">
        <v>1</v>
      </c>
      <c r="DD11" s="23">
        <v>2</v>
      </c>
      <c r="DE11" s="23">
        <v>0</v>
      </c>
      <c r="DF11" s="23">
        <v>0</v>
      </c>
      <c r="DG11" s="23">
        <v>0</v>
      </c>
      <c r="DH11" s="23"/>
      <c r="DI11" s="23"/>
      <c r="DJ11" s="23">
        <v>37</v>
      </c>
    </row>
    <row r="12" spans="1:114">
      <c r="A12" s="1" t="s">
        <v>52</v>
      </c>
      <c r="B12" s="1" t="s">
        <v>336</v>
      </c>
      <c r="C12" s="1" t="s">
        <v>282</v>
      </c>
      <c r="D12" s="1" t="s">
        <v>173</v>
      </c>
      <c r="E12" s="1" t="s">
        <v>27</v>
      </c>
      <c r="F12" s="1" t="s">
        <v>209</v>
      </c>
      <c r="N12" s="27">
        <v>8</v>
      </c>
      <c r="O12" s="27" t="s">
        <v>209</v>
      </c>
      <c r="P12" s="27" t="s">
        <v>405</v>
      </c>
      <c r="Q12" s="27">
        <v>2</v>
      </c>
      <c r="R12" s="27">
        <v>0</v>
      </c>
      <c r="S12" s="27">
        <v>4</v>
      </c>
      <c r="T12" s="27">
        <v>6</v>
      </c>
      <c r="U12" s="27">
        <v>11</v>
      </c>
      <c r="V12" s="27">
        <v>14</v>
      </c>
      <c r="W12" s="27"/>
      <c r="X12" s="27"/>
      <c r="Y12" s="27"/>
      <c r="Z12" s="27"/>
      <c r="AA12" s="27"/>
      <c r="AB12" s="27"/>
      <c r="AC12" s="28">
        <v>37</v>
      </c>
      <c r="AD12" s="25"/>
      <c r="AE12" s="26"/>
      <c r="AF12" s="2"/>
      <c r="AG12" s="27">
        <v>8</v>
      </c>
      <c r="AH12" s="27" t="s">
        <v>209</v>
      </c>
      <c r="AI12" s="27" t="s">
        <v>405</v>
      </c>
      <c r="AJ12" s="27">
        <v>32</v>
      </c>
      <c r="AK12" s="27">
        <v>0</v>
      </c>
      <c r="AL12" s="27">
        <v>0</v>
      </c>
      <c r="AM12" s="27">
        <v>0</v>
      </c>
      <c r="AN12" s="27">
        <v>5</v>
      </c>
      <c r="AO12" s="27">
        <v>0</v>
      </c>
      <c r="AP12" s="27">
        <v>0</v>
      </c>
      <c r="AQ12" s="27">
        <v>0</v>
      </c>
      <c r="AR12" s="27"/>
      <c r="AS12" s="27">
        <v>0</v>
      </c>
      <c r="AT12" s="27">
        <f t="shared" si="0"/>
        <v>37</v>
      </c>
      <c r="AX12" s="27">
        <v>8</v>
      </c>
      <c r="AY12" s="27" t="s">
        <v>65</v>
      </c>
      <c r="AZ12" s="27" t="s">
        <v>284</v>
      </c>
      <c r="BA12" s="27">
        <v>10</v>
      </c>
      <c r="BB12" s="27">
        <v>7</v>
      </c>
      <c r="BC12" s="27">
        <v>12</v>
      </c>
      <c r="BD12" s="27">
        <v>11</v>
      </c>
      <c r="BE12" s="27">
        <v>21</v>
      </c>
      <c r="BF12" s="27">
        <v>14</v>
      </c>
      <c r="BG12" s="27"/>
      <c r="BH12" s="27"/>
      <c r="BI12" s="27"/>
      <c r="BJ12" s="27"/>
      <c r="BK12" s="27"/>
      <c r="BL12" s="27"/>
      <c r="BM12" s="27">
        <v>75</v>
      </c>
      <c r="BN12" s="2"/>
      <c r="BO12" s="2"/>
      <c r="BP12" s="27">
        <v>8</v>
      </c>
      <c r="BQ12" s="27" t="s">
        <v>65</v>
      </c>
      <c r="BR12" s="27" t="s">
        <v>284</v>
      </c>
      <c r="BS12" s="27">
        <v>66</v>
      </c>
      <c r="BT12" s="27">
        <v>0</v>
      </c>
      <c r="BU12" s="27">
        <v>0</v>
      </c>
      <c r="BV12" s="27">
        <v>9</v>
      </c>
      <c r="BW12" s="27">
        <v>0</v>
      </c>
      <c r="BX12" s="27">
        <v>0</v>
      </c>
      <c r="BY12" s="27">
        <v>0</v>
      </c>
      <c r="BZ12" s="27"/>
      <c r="CA12" s="27">
        <v>0</v>
      </c>
      <c r="CB12" s="27">
        <f t="shared" si="1"/>
        <v>75</v>
      </c>
      <c r="CF12" s="27">
        <v>8</v>
      </c>
      <c r="CG12" s="27" t="s">
        <v>117</v>
      </c>
      <c r="CH12" s="27" t="s">
        <v>294</v>
      </c>
      <c r="CI12" s="27">
        <v>2</v>
      </c>
      <c r="CJ12" s="27">
        <v>3</v>
      </c>
      <c r="CK12" s="27">
        <v>14</v>
      </c>
      <c r="CL12" s="27">
        <v>6</v>
      </c>
      <c r="CM12" s="27">
        <v>4</v>
      </c>
      <c r="CN12" s="27">
        <v>2</v>
      </c>
      <c r="CO12" s="27"/>
      <c r="CP12" s="27"/>
      <c r="CQ12" s="27"/>
      <c r="CR12" s="27"/>
      <c r="CS12" s="27"/>
      <c r="CT12" s="27"/>
      <c r="CU12" s="27">
        <v>31</v>
      </c>
      <c r="CV12" s="2"/>
      <c r="CW12" s="2"/>
      <c r="CX12" s="27">
        <v>8</v>
      </c>
      <c r="CY12" s="27" t="s">
        <v>117</v>
      </c>
      <c r="CZ12" s="27" t="s">
        <v>294</v>
      </c>
      <c r="DA12" s="27">
        <v>29</v>
      </c>
      <c r="DB12" s="27">
        <v>0</v>
      </c>
      <c r="DC12" s="27">
        <v>1</v>
      </c>
      <c r="DD12" s="27">
        <v>1</v>
      </c>
      <c r="DE12" s="27">
        <v>0</v>
      </c>
      <c r="DF12" s="27">
        <v>0</v>
      </c>
      <c r="DG12" s="27">
        <v>0</v>
      </c>
      <c r="DH12" s="27"/>
      <c r="DI12" s="27"/>
      <c r="DJ12" s="27">
        <v>31</v>
      </c>
    </row>
    <row r="13" spans="1:114">
      <c r="A13" s="1" t="s">
        <v>133</v>
      </c>
      <c r="B13" s="1" t="s">
        <v>338</v>
      </c>
      <c r="C13" s="1" t="s">
        <v>51</v>
      </c>
      <c r="D13" s="1" t="s">
        <v>236</v>
      </c>
      <c r="E13" s="1" t="s">
        <v>379</v>
      </c>
      <c r="F13" s="1" t="s">
        <v>440</v>
      </c>
      <c r="N13" s="23">
        <v>9</v>
      </c>
      <c r="O13" s="23" t="s">
        <v>440</v>
      </c>
      <c r="P13" s="23" t="s">
        <v>441</v>
      </c>
      <c r="Q13" s="23">
        <v>0</v>
      </c>
      <c r="R13" s="23">
        <v>1</v>
      </c>
      <c r="S13" s="23">
        <v>2</v>
      </c>
      <c r="T13" s="23">
        <v>3</v>
      </c>
      <c r="U13" s="23">
        <v>8</v>
      </c>
      <c r="V13" s="23">
        <v>21</v>
      </c>
      <c r="W13" s="23"/>
      <c r="X13" s="23"/>
      <c r="Y13" s="23"/>
      <c r="Z13" s="23"/>
      <c r="AA13" s="23"/>
      <c r="AB13" s="23"/>
      <c r="AC13" s="24">
        <v>35</v>
      </c>
      <c r="AD13" s="25"/>
      <c r="AE13" s="26"/>
      <c r="AF13" s="2"/>
      <c r="AG13" s="23">
        <v>9</v>
      </c>
      <c r="AH13" s="23" t="s">
        <v>440</v>
      </c>
      <c r="AI13" s="23" t="s">
        <v>441</v>
      </c>
      <c r="AJ13" s="23">
        <v>31</v>
      </c>
      <c r="AK13" s="23">
        <v>0</v>
      </c>
      <c r="AL13" s="23">
        <v>0</v>
      </c>
      <c r="AM13" s="23">
        <v>2</v>
      </c>
      <c r="AN13" s="23">
        <v>2</v>
      </c>
      <c r="AO13" s="23">
        <v>0</v>
      </c>
      <c r="AP13" s="23">
        <v>0</v>
      </c>
      <c r="AQ13" s="23">
        <v>0</v>
      </c>
      <c r="AR13" s="23"/>
      <c r="AS13" s="23">
        <v>0</v>
      </c>
      <c r="AT13" s="23">
        <f t="shared" si="0"/>
        <v>35</v>
      </c>
      <c r="AX13" s="23">
        <v>9</v>
      </c>
      <c r="AY13" s="23" t="s">
        <v>300</v>
      </c>
      <c r="AZ13" s="23" t="s">
        <v>301</v>
      </c>
      <c r="BA13" s="23">
        <v>3</v>
      </c>
      <c r="BB13" s="23">
        <v>12</v>
      </c>
      <c r="BC13" s="23">
        <v>14</v>
      </c>
      <c r="BD13" s="23">
        <v>7</v>
      </c>
      <c r="BE13" s="23">
        <v>9</v>
      </c>
      <c r="BF13" s="23">
        <v>28</v>
      </c>
      <c r="BG13" s="23"/>
      <c r="BH13" s="23"/>
      <c r="BI13" s="23"/>
      <c r="BJ13" s="23"/>
      <c r="BK13" s="23"/>
      <c r="BL13" s="23"/>
      <c r="BM13" s="23">
        <v>73</v>
      </c>
      <c r="BN13" s="2"/>
      <c r="BO13" s="2"/>
      <c r="BP13" s="23">
        <v>9</v>
      </c>
      <c r="BQ13" s="23" t="s">
        <v>300</v>
      </c>
      <c r="BR13" s="23" t="s">
        <v>301</v>
      </c>
      <c r="BS13" s="23">
        <v>69</v>
      </c>
      <c r="BT13" s="23">
        <v>0</v>
      </c>
      <c r="BU13" s="23">
        <v>4</v>
      </c>
      <c r="BV13" s="23">
        <v>0</v>
      </c>
      <c r="BW13" s="23">
        <v>0</v>
      </c>
      <c r="BX13" s="23">
        <v>0</v>
      </c>
      <c r="BY13" s="23">
        <v>0</v>
      </c>
      <c r="BZ13" s="23"/>
      <c r="CA13" s="23">
        <v>0</v>
      </c>
      <c r="CB13" s="23">
        <f t="shared" si="1"/>
        <v>73</v>
      </c>
      <c r="CF13" s="23">
        <v>9</v>
      </c>
      <c r="CG13" s="23" t="s">
        <v>137</v>
      </c>
      <c r="CH13" s="23" t="s">
        <v>245</v>
      </c>
      <c r="CI13" s="23">
        <v>3</v>
      </c>
      <c r="CJ13" s="23">
        <v>1</v>
      </c>
      <c r="CK13" s="23">
        <v>13</v>
      </c>
      <c r="CL13" s="23">
        <v>2</v>
      </c>
      <c r="CM13" s="23">
        <v>7</v>
      </c>
      <c r="CN13" s="23">
        <v>4</v>
      </c>
      <c r="CO13" s="23"/>
      <c r="CP13" s="23"/>
      <c r="CQ13" s="23"/>
      <c r="CR13" s="23"/>
      <c r="CS13" s="23"/>
      <c r="CT13" s="23"/>
      <c r="CU13" s="23">
        <v>30</v>
      </c>
      <c r="CV13" s="2"/>
      <c r="CW13" s="2"/>
      <c r="CX13" s="23">
        <v>9</v>
      </c>
      <c r="CY13" s="23" t="s">
        <v>137</v>
      </c>
      <c r="CZ13" s="23" t="s">
        <v>245</v>
      </c>
      <c r="DA13" s="23">
        <v>21</v>
      </c>
      <c r="DB13" s="23">
        <v>0</v>
      </c>
      <c r="DC13" s="23">
        <v>3</v>
      </c>
      <c r="DD13" s="23">
        <v>6</v>
      </c>
      <c r="DE13" s="23">
        <v>0</v>
      </c>
      <c r="DF13" s="23">
        <v>0</v>
      </c>
      <c r="DG13" s="23">
        <v>0</v>
      </c>
      <c r="DH13" s="23"/>
      <c r="DI13" s="23"/>
      <c r="DJ13" s="23">
        <v>30</v>
      </c>
    </row>
    <row r="14" spans="1:114">
      <c r="A14" s="1" t="s">
        <v>282</v>
      </c>
      <c r="B14" s="1" t="s">
        <v>325</v>
      </c>
      <c r="C14" s="1" t="s">
        <v>173</v>
      </c>
      <c r="D14" s="1" t="s">
        <v>49</v>
      </c>
      <c r="E14" s="1" t="s">
        <v>240</v>
      </c>
      <c r="F14" s="1" t="s">
        <v>433</v>
      </c>
      <c r="N14" s="27">
        <v>10</v>
      </c>
      <c r="O14" s="27" t="s">
        <v>433</v>
      </c>
      <c r="P14" s="27" t="s">
        <v>434</v>
      </c>
      <c r="Q14" s="27">
        <v>1</v>
      </c>
      <c r="R14" s="27">
        <v>3</v>
      </c>
      <c r="S14" s="27">
        <v>3</v>
      </c>
      <c r="T14" s="27">
        <v>3</v>
      </c>
      <c r="U14" s="27">
        <v>6</v>
      </c>
      <c r="V14" s="27">
        <v>19</v>
      </c>
      <c r="W14" s="27"/>
      <c r="X14" s="27"/>
      <c r="Y14" s="27"/>
      <c r="Z14" s="27"/>
      <c r="AA14" s="27"/>
      <c r="AB14" s="27"/>
      <c r="AC14" s="28">
        <v>35</v>
      </c>
      <c r="AD14" s="25"/>
      <c r="AE14" s="26"/>
      <c r="AF14" s="2"/>
      <c r="AG14" s="27">
        <v>10</v>
      </c>
      <c r="AH14" s="27" t="s">
        <v>433</v>
      </c>
      <c r="AI14" s="27" t="s">
        <v>434</v>
      </c>
      <c r="AJ14" s="27">
        <v>32</v>
      </c>
      <c r="AK14" s="27">
        <v>0</v>
      </c>
      <c r="AL14" s="27">
        <v>0</v>
      </c>
      <c r="AM14" s="27">
        <v>0</v>
      </c>
      <c r="AN14" s="27">
        <v>3</v>
      </c>
      <c r="AO14" s="27">
        <v>0</v>
      </c>
      <c r="AP14" s="27">
        <v>0</v>
      </c>
      <c r="AQ14" s="27">
        <v>0</v>
      </c>
      <c r="AR14" s="27"/>
      <c r="AS14" s="27">
        <v>0</v>
      </c>
      <c r="AT14" s="27">
        <f t="shared" si="0"/>
        <v>35</v>
      </c>
      <c r="AX14" s="27">
        <v>10</v>
      </c>
      <c r="AY14" s="27" t="s">
        <v>117</v>
      </c>
      <c r="AZ14" s="27" t="s">
        <v>294</v>
      </c>
      <c r="BA14" s="27">
        <v>7</v>
      </c>
      <c r="BB14" s="27">
        <v>11</v>
      </c>
      <c r="BC14" s="27">
        <v>11</v>
      </c>
      <c r="BD14" s="27">
        <v>15</v>
      </c>
      <c r="BE14" s="27">
        <v>8</v>
      </c>
      <c r="BF14" s="27">
        <v>4</v>
      </c>
      <c r="BG14" s="27"/>
      <c r="BH14" s="27"/>
      <c r="BI14" s="27"/>
      <c r="BJ14" s="27"/>
      <c r="BK14" s="27"/>
      <c r="BL14" s="27"/>
      <c r="BM14" s="27">
        <v>56</v>
      </c>
      <c r="BN14" s="2"/>
      <c r="BO14" s="2"/>
      <c r="BP14" s="27">
        <v>10</v>
      </c>
      <c r="BQ14" s="27" t="s">
        <v>117</v>
      </c>
      <c r="BR14" s="27" t="s">
        <v>294</v>
      </c>
      <c r="BS14" s="27">
        <v>47</v>
      </c>
      <c r="BT14" s="27">
        <v>1</v>
      </c>
      <c r="BU14" s="27">
        <v>0</v>
      </c>
      <c r="BV14" s="27">
        <v>8</v>
      </c>
      <c r="BW14" s="27">
        <v>0</v>
      </c>
      <c r="BX14" s="27">
        <v>0</v>
      </c>
      <c r="BY14" s="27">
        <v>0</v>
      </c>
      <c r="BZ14" s="27"/>
      <c r="CA14" s="27">
        <v>0</v>
      </c>
      <c r="CB14" s="27">
        <f t="shared" si="1"/>
        <v>56</v>
      </c>
      <c r="CF14" s="27">
        <v>10</v>
      </c>
      <c r="CG14" s="27" t="s">
        <v>109</v>
      </c>
      <c r="CH14" s="27" t="s">
        <v>402</v>
      </c>
      <c r="CI14" s="27">
        <v>1</v>
      </c>
      <c r="CJ14" s="27">
        <v>2</v>
      </c>
      <c r="CK14" s="27">
        <v>2</v>
      </c>
      <c r="CL14" s="27">
        <v>5</v>
      </c>
      <c r="CM14" s="27">
        <v>8</v>
      </c>
      <c r="CN14" s="27">
        <v>11</v>
      </c>
      <c r="CO14" s="27"/>
      <c r="CP14" s="27"/>
      <c r="CQ14" s="27"/>
      <c r="CR14" s="27"/>
      <c r="CS14" s="27"/>
      <c r="CT14" s="27"/>
      <c r="CU14" s="27">
        <v>29</v>
      </c>
      <c r="CV14" s="2"/>
      <c r="CW14" s="2"/>
      <c r="CX14" s="27">
        <v>10</v>
      </c>
      <c r="CY14" s="27" t="s">
        <v>109</v>
      </c>
      <c r="CZ14" s="27" t="s">
        <v>402</v>
      </c>
      <c r="DA14" s="27">
        <v>24</v>
      </c>
      <c r="DB14" s="27">
        <v>0</v>
      </c>
      <c r="DC14" s="27">
        <v>4</v>
      </c>
      <c r="DD14" s="27">
        <v>1</v>
      </c>
      <c r="DE14" s="27">
        <v>0</v>
      </c>
      <c r="DF14" s="27">
        <v>0</v>
      </c>
      <c r="DG14" s="27">
        <v>0</v>
      </c>
      <c r="DH14" s="27"/>
      <c r="DI14" s="27"/>
      <c r="DJ14" s="27">
        <v>29</v>
      </c>
    </row>
    <row r="15" spans="1:114">
      <c r="A15" s="1" t="s">
        <v>165</v>
      </c>
      <c r="B15" s="1" t="s">
        <v>282</v>
      </c>
      <c r="C15" s="1" t="s">
        <v>236</v>
      </c>
      <c r="D15" s="1" t="s">
        <v>358</v>
      </c>
      <c r="E15" s="1" t="s">
        <v>49</v>
      </c>
      <c r="F15" s="1" t="s">
        <v>236</v>
      </c>
      <c r="N15" s="23">
        <v>11</v>
      </c>
      <c r="O15" s="23" t="s">
        <v>236</v>
      </c>
      <c r="P15" s="23" t="s">
        <v>237</v>
      </c>
      <c r="Q15" s="23">
        <v>3</v>
      </c>
      <c r="R15" s="23">
        <v>3</v>
      </c>
      <c r="S15" s="23">
        <v>6</v>
      </c>
      <c r="T15" s="23">
        <v>7</v>
      </c>
      <c r="U15" s="23">
        <v>11</v>
      </c>
      <c r="V15" s="23">
        <v>2</v>
      </c>
      <c r="W15" s="23"/>
      <c r="X15" s="23"/>
      <c r="Y15" s="23"/>
      <c r="Z15" s="23"/>
      <c r="AA15" s="23"/>
      <c r="AB15" s="23"/>
      <c r="AC15" s="24">
        <v>32</v>
      </c>
      <c r="AD15" s="25"/>
      <c r="AE15" s="26"/>
      <c r="AF15" s="2"/>
      <c r="AG15" s="23">
        <v>11</v>
      </c>
      <c r="AH15" s="23" t="s">
        <v>236</v>
      </c>
      <c r="AI15" s="23" t="s">
        <v>237</v>
      </c>
      <c r="AJ15" s="23">
        <v>32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/>
      <c r="AS15" s="23">
        <v>0</v>
      </c>
      <c r="AT15" s="23">
        <f t="shared" si="0"/>
        <v>32</v>
      </c>
      <c r="AX15" s="23">
        <v>11</v>
      </c>
      <c r="AY15" s="23" t="s">
        <v>381</v>
      </c>
      <c r="AZ15" s="23" t="s">
        <v>382</v>
      </c>
      <c r="BA15" s="23">
        <v>0</v>
      </c>
      <c r="BB15" s="23">
        <v>4</v>
      </c>
      <c r="BC15" s="23">
        <v>8</v>
      </c>
      <c r="BD15" s="23">
        <v>9</v>
      </c>
      <c r="BE15" s="23">
        <v>12</v>
      </c>
      <c r="BF15" s="23">
        <v>22</v>
      </c>
      <c r="BG15" s="23"/>
      <c r="BH15" s="23"/>
      <c r="BI15" s="23"/>
      <c r="BJ15" s="23"/>
      <c r="BK15" s="23"/>
      <c r="BL15" s="23"/>
      <c r="BM15" s="23">
        <v>55</v>
      </c>
      <c r="BN15" s="2"/>
      <c r="BO15" s="2"/>
      <c r="BP15" s="23">
        <v>11</v>
      </c>
      <c r="BQ15" s="23" t="s">
        <v>381</v>
      </c>
      <c r="BR15" s="23" t="s">
        <v>382</v>
      </c>
      <c r="BS15" s="23">
        <v>52</v>
      </c>
      <c r="BT15" s="23">
        <v>0</v>
      </c>
      <c r="BU15" s="23">
        <v>1</v>
      </c>
      <c r="BV15" s="23">
        <v>2</v>
      </c>
      <c r="BW15" s="23">
        <v>0</v>
      </c>
      <c r="BX15" s="23">
        <v>0</v>
      </c>
      <c r="BY15" s="23">
        <v>0</v>
      </c>
      <c r="BZ15" s="23"/>
      <c r="CA15" s="23">
        <v>0</v>
      </c>
      <c r="CB15" s="23">
        <f t="shared" si="1"/>
        <v>55</v>
      </c>
      <c r="CF15" s="23">
        <v>11</v>
      </c>
      <c r="CG15" s="23" t="s">
        <v>442</v>
      </c>
      <c r="CH15" s="23" t="s">
        <v>443</v>
      </c>
      <c r="CI15" s="23">
        <v>0</v>
      </c>
      <c r="CJ15" s="23">
        <v>0</v>
      </c>
      <c r="CK15" s="23">
        <v>5</v>
      </c>
      <c r="CL15" s="23">
        <v>0</v>
      </c>
      <c r="CM15" s="23">
        <v>4</v>
      </c>
      <c r="CN15" s="23">
        <v>17</v>
      </c>
      <c r="CO15" s="23"/>
      <c r="CP15" s="23"/>
      <c r="CQ15" s="23"/>
      <c r="CR15" s="23"/>
      <c r="CS15" s="23"/>
      <c r="CT15" s="23"/>
      <c r="CU15" s="23">
        <v>26</v>
      </c>
      <c r="CV15" s="2"/>
      <c r="CW15" s="2"/>
      <c r="CX15" s="23">
        <v>11</v>
      </c>
      <c r="CY15" s="23" t="s">
        <v>442</v>
      </c>
      <c r="CZ15" s="23" t="s">
        <v>443</v>
      </c>
      <c r="DA15" s="23">
        <v>23</v>
      </c>
      <c r="DB15" s="23">
        <v>0</v>
      </c>
      <c r="DC15" s="23">
        <v>3</v>
      </c>
      <c r="DD15" s="23">
        <v>0</v>
      </c>
      <c r="DE15" s="23">
        <v>0</v>
      </c>
      <c r="DF15" s="23">
        <v>0</v>
      </c>
      <c r="DG15" s="23">
        <v>0</v>
      </c>
      <c r="DH15" s="23"/>
      <c r="DI15" s="23"/>
      <c r="DJ15" s="23">
        <v>26</v>
      </c>
    </row>
    <row r="16" spans="1:114">
      <c r="A16" s="1" t="s">
        <v>51</v>
      </c>
      <c r="B16" s="1" t="s">
        <v>308</v>
      </c>
      <c r="C16" s="1" t="s">
        <v>240</v>
      </c>
      <c r="D16" s="1" t="s">
        <v>379</v>
      </c>
      <c r="E16" s="1" t="s">
        <v>161</v>
      </c>
      <c r="F16" s="1" t="s">
        <v>358</v>
      </c>
      <c r="N16" s="27">
        <v>12</v>
      </c>
      <c r="O16" s="27" t="s">
        <v>358</v>
      </c>
      <c r="P16" s="27" t="s">
        <v>359</v>
      </c>
      <c r="Q16" s="27">
        <v>2</v>
      </c>
      <c r="R16" s="27">
        <v>3</v>
      </c>
      <c r="S16" s="27">
        <v>3</v>
      </c>
      <c r="T16" s="27">
        <v>11</v>
      </c>
      <c r="U16" s="27">
        <v>11</v>
      </c>
      <c r="V16" s="27">
        <v>2</v>
      </c>
      <c r="W16" s="27"/>
      <c r="X16" s="27"/>
      <c r="Y16" s="27"/>
      <c r="Z16" s="27"/>
      <c r="AA16" s="27"/>
      <c r="AB16" s="27"/>
      <c r="AC16" s="28">
        <v>32</v>
      </c>
      <c r="AD16" s="25"/>
      <c r="AE16" s="26"/>
      <c r="AF16" s="2"/>
      <c r="AG16" s="27">
        <v>12</v>
      </c>
      <c r="AH16" s="27" t="s">
        <v>358</v>
      </c>
      <c r="AI16" s="27" t="s">
        <v>359</v>
      </c>
      <c r="AJ16" s="27">
        <v>32</v>
      </c>
      <c r="AK16" s="27">
        <v>0</v>
      </c>
      <c r="AL16" s="27">
        <v>0</v>
      </c>
      <c r="AM16" s="27">
        <v>0</v>
      </c>
      <c r="AN16" s="27">
        <v>0</v>
      </c>
      <c r="AO16" s="27">
        <v>0</v>
      </c>
      <c r="AP16" s="27">
        <v>0</v>
      </c>
      <c r="AQ16" s="27">
        <v>0</v>
      </c>
      <c r="AR16" s="27"/>
      <c r="AS16" s="27">
        <v>0</v>
      </c>
      <c r="AT16" s="27">
        <f t="shared" si="0"/>
        <v>32</v>
      </c>
      <c r="AX16" s="27">
        <v>12</v>
      </c>
      <c r="AY16" s="27" t="s">
        <v>289</v>
      </c>
      <c r="AZ16" s="27" t="s">
        <v>290</v>
      </c>
      <c r="BA16" s="27">
        <v>3</v>
      </c>
      <c r="BB16" s="27">
        <v>7</v>
      </c>
      <c r="BC16" s="27">
        <v>6</v>
      </c>
      <c r="BD16" s="27">
        <v>8</v>
      </c>
      <c r="BE16" s="27">
        <v>10</v>
      </c>
      <c r="BF16" s="27">
        <v>14</v>
      </c>
      <c r="BG16" s="27"/>
      <c r="BH16" s="27"/>
      <c r="BI16" s="27"/>
      <c r="BJ16" s="27"/>
      <c r="BK16" s="27"/>
      <c r="BL16" s="27"/>
      <c r="BM16" s="27">
        <v>48</v>
      </c>
      <c r="BN16" s="2"/>
      <c r="BO16" s="2"/>
      <c r="BP16" s="27">
        <v>12</v>
      </c>
      <c r="BQ16" s="27" t="s">
        <v>289</v>
      </c>
      <c r="BR16" s="27" t="s">
        <v>290</v>
      </c>
      <c r="BS16" s="27">
        <v>32</v>
      </c>
      <c r="BT16" s="27">
        <v>0</v>
      </c>
      <c r="BU16" s="27">
        <v>10</v>
      </c>
      <c r="BV16" s="27">
        <v>6</v>
      </c>
      <c r="BW16" s="27">
        <v>0</v>
      </c>
      <c r="BX16" s="27">
        <v>0</v>
      </c>
      <c r="BY16" s="27">
        <v>0</v>
      </c>
      <c r="BZ16" s="27"/>
      <c r="CA16" s="27">
        <v>0</v>
      </c>
      <c r="CB16" s="27">
        <f t="shared" si="1"/>
        <v>48</v>
      </c>
      <c r="CF16" s="27">
        <v>12</v>
      </c>
      <c r="CG16" s="27" t="s">
        <v>296</v>
      </c>
      <c r="CH16" s="27" t="s">
        <v>297</v>
      </c>
      <c r="CI16" s="27">
        <v>1</v>
      </c>
      <c r="CJ16" s="27">
        <v>0</v>
      </c>
      <c r="CK16" s="27">
        <v>1</v>
      </c>
      <c r="CL16" s="27">
        <v>7</v>
      </c>
      <c r="CM16" s="27">
        <v>11</v>
      </c>
      <c r="CN16" s="27">
        <v>5</v>
      </c>
      <c r="CO16" s="27"/>
      <c r="CP16" s="27"/>
      <c r="CQ16" s="27"/>
      <c r="CR16" s="27"/>
      <c r="CS16" s="27"/>
      <c r="CT16" s="27"/>
      <c r="CU16" s="27">
        <v>25</v>
      </c>
      <c r="CV16" s="2"/>
      <c r="CW16" s="2"/>
      <c r="CX16" s="27">
        <v>12</v>
      </c>
      <c r="CY16" s="27" t="s">
        <v>296</v>
      </c>
      <c r="CZ16" s="27" t="s">
        <v>297</v>
      </c>
      <c r="DA16" s="27">
        <v>15</v>
      </c>
      <c r="DB16" s="27">
        <v>0</v>
      </c>
      <c r="DC16" s="27">
        <v>9</v>
      </c>
      <c r="DD16" s="27">
        <v>1</v>
      </c>
      <c r="DE16" s="27">
        <v>0</v>
      </c>
      <c r="DF16" s="27">
        <v>0</v>
      </c>
      <c r="DG16" s="27">
        <v>0</v>
      </c>
      <c r="DH16" s="27"/>
      <c r="DI16" s="27"/>
      <c r="DJ16" s="27">
        <v>25</v>
      </c>
    </row>
    <row r="17" spans="1:114">
      <c r="A17" s="1" t="s">
        <v>322</v>
      </c>
      <c r="B17" s="1" t="s">
        <v>18</v>
      </c>
      <c r="C17" s="1" t="s">
        <v>221</v>
      </c>
      <c r="D17" s="1" t="s">
        <v>272</v>
      </c>
      <c r="E17" s="1" t="s">
        <v>272</v>
      </c>
      <c r="F17" s="1" t="s">
        <v>49</v>
      </c>
      <c r="N17" s="23">
        <v>13</v>
      </c>
      <c r="O17" s="23" t="s">
        <v>49</v>
      </c>
      <c r="P17" s="23" t="s">
        <v>357</v>
      </c>
      <c r="Q17" s="23">
        <v>2</v>
      </c>
      <c r="R17" s="23">
        <v>3</v>
      </c>
      <c r="S17" s="23">
        <v>3</v>
      </c>
      <c r="T17" s="23">
        <v>11</v>
      </c>
      <c r="U17" s="23">
        <v>10</v>
      </c>
      <c r="V17" s="23">
        <v>2</v>
      </c>
      <c r="W17" s="23"/>
      <c r="X17" s="23"/>
      <c r="Y17" s="23"/>
      <c r="Z17" s="23"/>
      <c r="AA17" s="23"/>
      <c r="AB17" s="23"/>
      <c r="AC17" s="24">
        <v>31</v>
      </c>
      <c r="AD17" s="25"/>
      <c r="AE17" s="26"/>
      <c r="AF17" s="2"/>
      <c r="AG17" s="23">
        <v>13</v>
      </c>
      <c r="AH17" s="23" t="s">
        <v>49</v>
      </c>
      <c r="AI17" s="23" t="s">
        <v>357</v>
      </c>
      <c r="AJ17" s="23">
        <v>31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/>
      <c r="AS17" s="23">
        <v>0</v>
      </c>
      <c r="AT17" s="23">
        <f t="shared" si="0"/>
        <v>31</v>
      </c>
      <c r="AX17" s="23">
        <v>13</v>
      </c>
      <c r="AY17" s="23" t="s">
        <v>276</v>
      </c>
      <c r="AZ17" s="23" t="s">
        <v>277</v>
      </c>
      <c r="BA17" s="23">
        <v>3</v>
      </c>
      <c r="BB17" s="23">
        <v>4</v>
      </c>
      <c r="BC17" s="23">
        <v>4</v>
      </c>
      <c r="BD17" s="23">
        <v>10</v>
      </c>
      <c r="BE17" s="23">
        <v>9</v>
      </c>
      <c r="BF17" s="23">
        <v>16</v>
      </c>
      <c r="BG17" s="23"/>
      <c r="BH17" s="23"/>
      <c r="BI17" s="23"/>
      <c r="BJ17" s="23"/>
      <c r="BK17" s="23"/>
      <c r="BL17" s="23"/>
      <c r="BM17" s="23">
        <v>46</v>
      </c>
      <c r="BN17" s="2"/>
      <c r="BO17" s="2"/>
      <c r="BP17" s="23">
        <v>13</v>
      </c>
      <c r="BQ17" s="23" t="s">
        <v>276</v>
      </c>
      <c r="BR17" s="23" t="s">
        <v>277</v>
      </c>
      <c r="BS17" s="23">
        <v>43</v>
      </c>
      <c r="BT17" s="23">
        <v>1</v>
      </c>
      <c r="BU17" s="23">
        <v>0</v>
      </c>
      <c r="BV17" s="23">
        <v>2</v>
      </c>
      <c r="BW17" s="23">
        <v>0</v>
      </c>
      <c r="BX17" s="23">
        <v>0</v>
      </c>
      <c r="BY17" s="23">
        <v>0</v>
      </c>
      <c r="BZ17" s="23"/>
      <c r="CA17" s="23">
        <v>0</v>
      </c>
      <c r="CB17" s="23">
        <f t="shared" si="1"/>
        <v>46</v>
      </c>
      <c r="CF17" s="23">
        <v>13</v>
      </c>
      <c r="CG17" s="23" t="s">
        <v>352</v>
      </c>
      <c r="CH17" s="23" t="s">
        <v>353</v>
      </c>
      <c r="CI17" s="23">
        <v>0</v>
      </c>
      <c r="CJ17" s="23">
        <v>5</v>
      </c>
      <c r="CK17" s="23">
        <v>2</v>
      </c>
      <c r="CL17" s="23">
        <v>9</v>
      </c>
      <c r="CM17" s="23">
        <v>6</v>
      </c>
      <c r="CN17" s="23">
        <v>3</v>
      </c>
      <c r="CO17" s="23"/>
      <c r="CP17" s="23"/>
      <c r="CQ17" s="23"/>
      <c r="CR17" s="23"/>
      <c r="CS17" s="23"/>
      <c r="CT17" s="23"/>
      <c r="CU17" s="23">
        <v>25</v>
      </c>
      <c r="CV17" s="2"/>
      <c r="CW17" s="2"/>
      <c r="CX17" s="23">
        <v>13</v>
      </c>
      <c r="CY17" s="23" t="s">
        <v>352</v>
      </c>
      <c r="CZ17" s="23" t="s">
        <v>353</v>
      </c>
      <c r="DA17" s="23">
        <v>20</v>
      </c>
      <c r="DB17" s="23">
        <v>0</v>
      </c>
      <c r="DC17" s="23">
        <v>1</v>
      </c>
      <c r="DD17" s="23">
        <v>4</v>
      </c>
      <c r="DE17" s="23">
        <v>0</v>
      </c>
      <c r="DF17" s="23">
        <v>0</v>
      </c>
      <c r="DG17" s="23">
        <v>0</v>
      </c>
      <c r="DH17" s="23"/>
      <c r="DI17" s="23"/>
      <c r="DJ17" s="23">
        <v>25</v>
      </c>
    </row>
    <row r="18" spans="1:114">
      <c r="A18" s="1" t="s">
        <v>324</v>
      </c>
      <c r="B18" s="1" t="s">
        <v>313</v>
      </c>
      <c r="C18" s="1" t="s">
        <v>334</v>
      </c>
      <c r="D18" s="1" t="s">
        <v>374</v>
      </c>
      <c r="E18" s="1" t="s">
        <v>32</v>
      </c>
      <c r="F18" s="1" t="s">
        <v>161</v>
      </c>
      <c r="N18" s="27">
        <v>14</v>
      </c>
      <c r="O18" s="27" t="s">
        <v>161</v>
      </c>
      <c r="P18" s="27" t="s">
        <v>307</v>
      </c>
      <c r="Q18" s="27">
        <v>10</v>
      </c>
      <c r="R18" s="27">
        <v>8</v>
      </c>
      <c r="S18" s="27">
        <v>0</v>
      </c>
      <c r="T18" s="27">
        <v>0</v>
      </c>
      <c r="U18" s="27">
        <v>12</v>
      </c>
      <c r="V18" s="27">
        <v>2</v>
      </c>
      <c r="W18" s="27"/>
      <c r="X18" s="27"/>
      <c r="Y18" s="27"/>
      <c r="Z18" s="27"/>
      <c r="AA18" s="27"/>
      <c r="AB18" s="27"/>
      <c r="AC18" s="28">
        <v>32</v>
      </c>
      <c r="AD18" s="25"/>
      <c r="AE18" s="26"/>
      <c r="AF18" s="2"/>
      <c r="AG18" s="27">
        <v>14</v>
      </c>
      <c r="AH18" s="27" t="s">
        <v>161</v>
      </c>
      <c r="AI18" s="27" t="s">
        <v>307</v>
      </c>
      <c r="AJ18" s="27">
        <v>23</v>
      </c>
      <c r="AK18" s="27">
        <v>0</v>
      </c>
      <c r="AL18" s="27">
        <v>3</v>
      </c>
      <c r="AM18" s="27">
        <v>2</v>
      </c>
      <c r="AN18" s="27">
        <v>0</v>
      </c>
      <c r="AO18" s="27">
        <v>1</v>
      </c>
      <c r="AP18" s="27">
        <v>2</v>
      </c>
      <c r="AQ18" s="27">
        <v>0</v>
      </c>
      <c r="AR18" s="27"/>
      <c r="AS18" s="27">
        <v>1</v>
      </c>
      <c r="AT18" s="27">
        <f t="shared" si="0"/>
        <v>32</v>
      </c>
      <c r="AX18" s="27">
        <v>14</v>
      </c>
      <c r="AY18" s="27" t="s">
        <v>355</v>
      </c>
      <c r="AZ18" s="27" t="s">
        <v>356</v>
      </c>
      <c r="BA18" s="27">
        <v>0</v>
      </c>
      <c r="BB18" s="27">
        <v>7</v>
      </c>
      <c r="BC18" s="27">
        <v>8</v>
      </c>
      <c r="BD18" s="27">
        <v>12</v>
      </c>
      <c r="BE18" s="27">
        <v>2</v>
      </c>
      <c r="BF18" s="27">
        <v>14</v>
      </c>
      <c r="BG18" s="27"/>
      <c r="BH18" s="27"/>
      <c r="BI18" s="27"/>
      <c r="BJ18" s="27"/>
      <c r="BK18" s="27"/>
      <c r="BL18" s="27"/>
      <c r="BM18" s="27">
        <v>43</v>
      </c>
      <c r="BN18" s="2"/>
      <c r="BO18" s="2"/>
      <c r="BP18" s="27">
        <v>14</v>
      </c>
      <c r="BQ18" s="27" t="s">
        <v>355</v>
      </c>
      <c r="BR18" s="27" t="s">
        <v>356</v>
      </c>
      <c r="BS18" s="27">
        <v>19</v>
      </c>
      <c r="BT18" s="27">
        <v>4</v>
      </c>
      <c r="BU18" s="27">
        <v>11</v>
      </c>
      <c r="BV18" s="27">
        <v>9</v>
      </c>
      <c r="BW18" s="27">
        <v>0</v>
      </c>
      <c r="BX18" s="27">
        <v>0</v>
      </c>
      <c r="BY18" s="27">
        <v>0</v>
      </c>
      <c r="BZ18" s="27"/>
      <c r="CA18" s="27">
        <v>0</v>
      </c>
      <c r="CB18" s="27">
        <f t="shared" si="1"/>
        <v>43</v>
      </c>
      <c r="CF18" s="27">
        <v>14</v>
      </c>
      <c r="CG18" s="27" t="s">
        <v>282</v>
      </c>
      <c r="CH18" s="27" t="s">
        <v>293</v>
      </c>
      <c r="CI18" s="27">
        <v>3</v>
      </c>
      <c r="CJ18" s="27">
        <v>4</v>
      </c>
      <c r="CK18" s="27">
        <v>5</v>
      </c>
      <c r="CL18" s="27">
        <v>3</v>
      </c>
      <c r="CM18" s="27">
        <v>4</v>
      </c>
      <c r="CN18" s="27">
        <v>5</v>
      </c>
      <c r="CO18" s="27"/>
      <c r="CP18" s="27"/>
      <c r="CQ18" s="27"/>
      <c r="CR18" s="27"/>
      <c r="CS18" s="27"/>
      <c r="CT18" s="27"/>
      <c r="CU18" s="27">
        <v>24</v>
      </c>
      <c r="CV18" s="2"/>
      <c r="CW18" s="2"/>
      <c r="CX18" s="27">
        <v>14</v>
      </c>
      <c r="CY18" s="27" t="s">
        <v>282</v>
      </c>
      <c r="CZ18" s="27" t="s">
        <v>293</v>
      </c>
      <c r="DA18" s="27">
        <v>22</v>
      </c>
      <c r="DB18" s="27">
        <v>0</v>
      </c>
      <c r="DC18" s="27">
        <v>0</v>
      </c>
      <c r="DD18" s="27">
        <v>2</v>
      </c>
      <c r="DE18" s="27">
        <v>0</v>
      </c>
      <c r="DF18" s="27">
        <v>0</v>
      </c>
      <c r="DG18" s="27">
        <v>0</v>
      </c>
      <c r="DH18" s="27"/>
      <c r="DI18" s="27"/>
      <c r="DJ18" s="27">
        <v>24</v>
      </c>
    </row>
    <row r="19" spans="1:114">
      <c r="A19" s="1" t="s">
        <v>325</v>
      </c>
      <c r="B19" s="1" t="s">
        <v>137</v>
      </c>
      <c r="C19" s="1" t="s">
        <v>338</v>
      </c>
      <c r="D19" s="1" t="s">
        <v>161</v>
      </c>
      <c r="E19" s="1" t="s">
        <v>173</v>
      </c>
      <c r="F19" s="1" t="s">
        <v>272</v>
      </c>
      <c r="N19" s="23">
        <v>15</v>
      </c>
      <c r="O19" s="23" t="s">
        <v>272</v>
      </c>
      <c r="P19" s="23" t="s">
        <v>376</v>
      </c>
      <c r="Q19" s="23">
        <v>3</v>
      </c>
      <c r="R19" s="23">
        <v>1</v>
      </c>
      <c r="S19" s="23">
        <v>6</v>
      </c>
      <c r="T19" s="23">
        <v>9</v>
      </c>
      <c r="U19" s="23">
        <v>9</v>
      </c>
      <c r="V19" s="23">
        <v>3</v>
      </c>
      <c r="W19" s="23"/>
      <c r="X19" s="23"/>
      <c r="Y19" s="23"/>
      <c r="Z19" s="23"/>
      <c r="AA19" s="23"/>
      <c r="AB19" s="23"/>
      <c r="AC19" s="24">
        <v>31</v>
      </c>
      <c r="AD19" s="25"/>
      <c r="AE19" s="26"/>
      <c r="AF19" s="2"/>
      <c r="AG19" s="23">
        <v>15</v>
      </c>
      <c r="AH19" s="23" t="s">
        <v>272</v>
      </c>
      <c r="AI19" s="23" t="s">
        <v>376</v>
      </c>
      <c r="AJ19" s="23">
        <v>30</v>
      </c>
      <c r="AK19" s="23">
        <v>0</v>
      </c>
      <c r="AL19" s="23">
        <v>0</v>
      </c>
      <c r="AM19" s="23">
        <v>0</v>
      </c>
      <c r="AN19" s="23">
        <v>1</v>
      </c>
      <c r="AO19" s="23">
        <v>0</v>
      </c>
      <c r="AP19" s="23">
        <v>0</v>
      </c>
      <c r="AQ19" s="23">
        <v>0</v>
      </c>
      <c r="AR19" s="23"/>
      <c r="AS19" s="23">
        <v>0</v>
      </c>
      <c r="AT19" s="23">
        <f t="shared" si="0"/>
        <v>31</v>
      </c>
      <c r="AX19" s="23">
        <v>15</v>
      </c>
      <c r="AY19" s="23" t="s">
        <v>327</v>
      </c>
      <c r="AZ19" s="23" t="s">
        <v>328</v>
      </c>
      <c r="BA19" s="23">
        <v>6</v>
      </c>
      <c r="BB19" s="23">
        <v>9</v>
      </c>
      <c r="BC19" s="23">
        <v>5</v>
      </c>
      <c r="BD19" s="23">
        <v>7</v>
      </c>
      <c r="BE19" s="23">
        <v>8</v>
      </c>
      <c r="BF19" s="23">
        <v>6</v>
      </c>
      <c r="BG19" s="23"/>
      <c r="BH19" s="23"/>
      <c r="BI19" s="23"/>
      <c r="BJ19" s="23"/>
      <c r="BK19" s="23"/>
      <c r="BL19" s="23"/>
      <c r="BM19" s="23">
        <v>41</v>
      </c>
      <c r="BN19" s="2"/>
      <c r="BO19" s="2"/>
      <c r="BP19" s="23">
        <v>15</v>
      </c>
      <c r="BQ19" s="23" t="s">
        <v>327</v>
      </c>
      <c r="BR19" s="23" t="s">
        <v>328</v>
      </c>
      <c r="BS19" s="23">
        <v>17</v>
      </c>
      <c r="BT19" s="23">
        <v>0</v>
      </c>
      <c r="BU19" s="23">
        <v>24</v>
      </c>
      <c r="BV19" s="23">
        <v>0</v>
      </c>
      <c r="BW19" s="23">
        <v>0</v>
      </c>
      <c r="BX19" s="23">
        <v>0</v>
      </c>
      <c r="BY19" s="23">
        <v>0</v>
      </c>
      <c r="BZ19" s="23"/>
      <c r="CA19" s="23">
        <v>0</v>
      </c>
      <c r="CB19" s="23">
        <f t="shared" si="1"/>
        <v>41</v>
      </c>
      <c r="CF19" s="23">
        <v>15</v>
      </c>
      <c r="CG19" s="23" t="s">
        <v>211</v>
      </c>
      <c r="CH19" s="23" t="s">
        <v>275</v>
      </c>
      <c r="CI19" s="23">
        <v>2</v>
      </c>
      <c r="CJ19" s="23">
        <v>2</v>
      </c>
      <c r="CK19" s="23">
        <v>4</v>
      </c>
      <c r="CL19" s="23">
        <v>5</v>
      </c>
      <c r="CM19" s="23">
        <v>7</v>
      </c>
      <c r="CN19" s="23">
        <v>3</v>
      </c>
      <c r="CO19" s="23"/>
      <c r="CP19" s="23"/>
      <c r="CQ19" s="23"/>
      <c r="CR19" s="23"/>
      <c r="CS19" s="23"/>
      <c r="CT19" s="23"/>
      <c r="CU19" s="23">
        <v>23</v>
      </c>
      <c r="CV19" s="2"/>
      <c r="CW19" s="2"/>
      <c r="CX19" s="23">
        <v>15</v>
      </c>
      <c r="CY19" s="23" t="s">
        <v>211</v>
      </c>
      <c r="CZ19" s="23" t="s">
        <v>275</v>
      </c>
      <c r="DA19" s="23">
        <v>19</v>
      </c>
      <c r="DB19" s="23">
        <v>0</v>
      </c>
      <c r="DC19" s="23">
        <v>3</v>
      </c>
      <c r="DD19" s="23">
        <v>1</v>
      </c>
      <c r="DE19" s="23">
        <v>0</v>
      </c>
      <c r="DF19" s="23">
        <v>0</v>
      </c>
      <c r="DG19" s="23">
        <v>0</v>
      </c>
      <c r="DH19" s="23"/>
      <c r="DI19" s="23"/>
      <c r="DJ19" s="23">
        <v>23</v>
      </c>
    </row>
    <row r="20" spans="1:114">
      <c r="A20" s="1" t="s">
        <v>329</v>
      </c>
      <c r="B20" s="1" t="s">
        <v>221</v>
      </c>
      <c r="C20" s="1" t="s">
        <v>108</v>
      </c>
      <c r="D20" s="1" t="s">
        <v>240</v>
      </c>
      <c r="E20" s="1" t="s">
        <v>395</v>
      </c>
      <c r="F20" s="1" t="s">
        <v>27</v>
      </c>
      <c r="N20" s="27">
        <v>16</v>
      </c>
      <c r="O20" s="27" t="s">
        <v>27</v>
      </c>
      <c r="P20" s="27" t="s">
        <v>330</v>
      </c>
      <c r="Q20" s="27">
        <v>4</v>
      </c>
      <c r="R20" s="27">
        <v>16</v>
      </c>
      <c r="S20" s="27">
        <v>10</v>
      </c>
      <c r="T20" s="27">
        <v>0</v>
      </c>
      <c r="U20" s="27">
        <v>0</v>
      </c>
      <c r="V20" s="27">
        <v>0</v>
      </c>
      <c r="W20" s="27"/>
      <c r="X20" s="27"/>
      <c r="Y20" s="27"/>
      <c r="Z20" s="27"/>
      <c r="AA20" s="27"/>
      <c r="AB20" s="27"/>
      <c r="AC20" s="28">
        <v>30</v>
      </c>
      <c r="AD20" s="25"/>
      <c r="AE20" s="26"/>
      <c r="AF20" s="2"/>
      <c r="AG20" s="27">
        <v>16</v>
      </c>
      <c r="AH20" s="27" t="s">
        <v>27</v>
      </c>
      <c r="AI20" s="27" t="s">
        <v>330</v>
      </c>
      <c r="AJ20" s="27">
        <v>13</v>
      </c>
      <c r="AK20" s="27">
        <v>0</v>
      </c>
      <c r="AL20" s="27">
        <v>0</v>
      </c>
      <c r="AM20" s="27">
        <v>17</v>
      </c>
      <c r="AN20" s="27">
        <v>0</v>
      </c>
      <c r="AO20" s="27">
        <v>0</v>
      </c>
      <c r="AP20" s="27">
        <v>0</v>
      </c>
      <c r="AQ20" s="27">
        <v>0</v>
      </c>
      <c r="AR20" s="27"/>
      <c r="AS20" s="27">
        <v>0</v>
      </c>
      <c r="AT20" s="27">
        <f t="shared" si="0"/>
        <v>30</v>
      </c>
      <c r="AX20" s="27">
        <v>16</v>
      </c>
      <c r="AY20" s="27" t="s">
        <v>421</v>
      </c>
      <c r="AZ20" s="27" t="s">
        <v>422</v>
      </c>
      <c r="BA20" s="27">
        <v>0</v>
      </c>
      <c r="BB20" s="27">
        <v>1</v>
      </c>
      <c r="BC20" s="27">
        <v>1</v>
      </c>
      <c r="BD20" s="27">
        <v>8</v>
      </c>
      <c r="BE20" s="27">
        <v>13</v>
      </c>
      <c r="BF20" s="27">
        <v>16</v>
      </c>
      <c r="BG20" s="27"/>
      <c r="BH20" s="27"/>
      <c r="BI20" s="27"/>
      <c r="BJ20" s="27"/>
      <c r="BK20" s="27"/>
      <c r="BL20" s="27"/>
      <c r="BM20" s="27">
        <v>39</v>
      </c>
      <c r="BN20" s="2"/>
      <c r="BO20" s="2"/>
      <c r="BP20" s="27">
        <v>16</v>
      </c>
      <c r="BQ20" s="27" t="s">
        <v>421</v>
      </c>
      <c r="BR20" s="27" t="s">
        <v>422</v>
      </c>
      <c r="BS20" s="27">
        <v>34</v>
      </c>
      <c r="BT20" s="27">
        <v>0</v>
      </c>
      <c r="BU20" s="27">
        <v>5</v>
      </c>
      <c r="BV20" s="27">
        <v>0</v>
      </c>
      <c r="BW20" s="27">
        <v>0</v>
      </c>
      <c r="BX20" s="27">
        <v>0</v>
      </c>
      <c r="BY20" s="27">
        <v>0</v>
      </c>
      <c r="BZ20" s="27"/>
      <c r="CA20" s="27">
        <v>0</v>
      </c>
      <c r="CB20" s="27">
        <f t="shared" si="1"/>
        <v>39</v>
      </c>
      <c r="CF20" s="27">
        <v>16</v>
      </c>
      <c r="CG20" s="27" t="s">
        <v>23</v>
      </c>
      <c r="CH20" s="27" t="s">
        <v>414</v>
      </c>
      <c r="CI20" s="27">
        <v>0</v>
      </c>
      <c r="CJ20" s="27">
        <v>0</v>
      </c>
      <c r="CK20" s="27">
        <v>2</v>
      </c>
      <c r="CL20" s="27">
        <v>4</v>
      </c>
      <c r="CM20" s="27">
        <v>12</v>
      </c>
      <c r="CN20" s="27">
        <v>4</v>
      </c>
      <c r="CO20" s="27"/>
      <c r="CP20" s="27"/>
      <c r="CQ20" s="27"/>
      <c r="CR20" s="27"/>
      <c r="CS20" s="27"/>
      <c r="CT20" s="27"/>
      <c r="CU20" s="27">
        <v>22</v>
      </c>
      <c r="CV20" s="2"/>
      <c r="CW20" s="2"/>
      <c r="CX20" s="27">
        <v>16</v>
      </c>
      <c r="CY20" s="27" t="s">
        <v>23</v>
      </c>
      <c r="CZ20" s="27" t="s">
        <v>414</v>
      </c>
      <c r="DA20" s="27">
        <v>18</v>
      </c>
      <c r="DB20" s="27">
        <v>0</v>
      </c>
      <c r="DC20" s="27">
        <v>4</v>
      </c>
      <c r="DD20" s="27">
        <v>0</v>
      </c>
      <c r="DE20" s="27">
        <v>0</v>
      </c>
      <c r="DF20" s="27">
        <v>0</v>
      </c>
      <c r="DG20" s="27">
        <v>0</v>
      </c>
      <c r="DH20" s="27"/>
      <c r="DI20" s="27"/>
      <c r="DJ20" s="27">
        <v>22</v>
      </c>
    </row>
    <row r="21" spans="1:114">
      <c r="A21" s="1" t="s">
        <v>221</v>
      </c>
      <c r="B21" s="1" t="s">
        <v>35</v>
      </c>
      <c r="C21" s="1" t="s">
        <v>373</v>
      </c>
      <c r="D21" s="1" t="s">
        <v>282</v>
      </c>
      <c r="E21" s="1" t="s">
        <v>26</v>
      </c>
      <c r="F21" s="1" t="s">
        <v>109</v>
      </c>
      <c r="N21" s="23">
        <v>17</v>
      </c>
      <c r="O21" s="23" t="s">
        <v>109</v>
      </c>
      <c r="P21" s="23" t="s">
        <v>402</v>
      </c>
      <c r="Q21" s="23">
        <v>1</v>
      </c>
      <c r="R21" s="23">
        <v>1</v>
      </c>
      <c r="S21" s="23">
        <v>2</v>
      </c>
      <c r="T21" s="23">
        <v>6</v>
      </c>
      <c r="U21" s="23">
        <v>8</v>
      </c>
      <c r="V21" s="23">
        <v>12</v>
      </c>
      <c r="W21" s="23"/>
      <c r="X21" s="23"/>
      <c r="Y21" s="23"/>
      <c r="Z21" s="23"/>
      <c r="AA21" s="23"/>
      <c r="AB21" s="23"/>
      <c r="AC21" s="24">
        <v>30</v>
      </c>
      <c r="AD21" s="25"/>
      <c r="AE21" s="26"/>
      <c r="AF21" s="2"/>
      <c r="AG21" s="23">
        <v>17</v>
      </c>
      <c r="AH21" s="23" t="s">
        <v>109</v>
      </c>
      <c r="AI21" s="23" t="s">
        <v>402</v>
      </c>
      <c r="AJ21" s="23">
        <v>28</v>
      </c>
      <c r="AK21" s="23">
        <v>0</v>
      </c>
      <c r="AL21" s="23">
        <v>0</v>
      </c>
      <c r="AM21" s="23">
        <v>0</v>
      </c>
      <c r="AN21" s="23">
        <v>2</v>
      </c>
      <c r="AO21" s="23">
        <v>0</v>
      </c>
      <c r="AP21" s="23">
        <v>0</v>
      </c>
      <c r="AQ21" s="23">
        <v>0</v>
      </c>
      <c r="AR21" s="23"/>
      <c r="AS21" s="23">
        <v>0</v>
      </c>
      <c r="AT21" s="23">
        <f t="shared" si="0"/>
        <v>30</v>
      </c>
      <c r="AX21" s="23">
        <v>17</v>
      </c>
      <c r="AY21" s="23" t="s">
        <v>272</v>
      </c>
      <c r="AZ21" s="23" t="s">
        <v>376</v>
      </c>
      <c r="BA21" s="23">
        <v>0</v>
      </c>
      <c r="BB21" s="23">
        <v>2</v>
      </c>
      <c r="BC21" s="23">
        <v>7</v>
      </c>
      <c r="BD21" s="23">
        <v>11</v>
      </c>
      <c r="BE21" s="23">
        <v>14</v>
      </c>
      <c r="BF21" s="23">
        <v>5</v>
      </c>
      <c r="BG21" s="23"/>
      <c r="BH21" s="23"/>
      <c r="BI21" s="23"/>
      <c r="BJ21" s="23"/>
      <c r="BK21" s="23"/>
      <c r="BL21" s="23"/>
      <c r="BM21" s="23">
        <v>39</v>
      </c>
      <c r="BN21" s="2"/>
      <c r="BO21" s="2"/>
      <c r="BP21" s="23">
        <v>17</v>
      </c>
      <c r="BQ21" s="23" t="s">
        <v>272</v>
      </c>
      <c r="BR21" s="23" t="s">
        <v>376</v>
      </c>
      <c r="BS21" s="23">
        <v>36</v>
      </c>
      <c r="BT21" s="23">
        <v>0</v>
      </c>
      <c r="BU21" s="23">
        <v>1</v>
      </c>
      <c r="BV21" s="23">
        <v>2</v>
      </c>
      <c r="BW21" s="23">
        <v>0</v>
      </c>
      <c r="BX21" s="23">
        <v>0</v>
      </c>
      <c r="BY21" s="23">
        <v>0</v>
      </c>
      <c r="BZ21" s="23"/>
      <c r="CA21" s="23">
        <v>0</v>
      </c>
      <c r="CB21" s="23">
        <f t="shared" si="1"/>
        <v>39</v>
      </c>
      <c r="CF21" s="23">
        <v>17</v>
      </c>
      <c r="CG21" s="23" t="s">
        <v>418</v>
      </c>
      <c r="CH21" s="23" t="s">
        <v>419</v>
      </c>
      <c r="CI21" s="23">
        <v>0</v>
      </c>
      <c r="CJ21" s="23">
        <v>0</v>
      </c>
      <c r="CK21" s="23">
        <v>3</v>
      </c>
      <c r="CL21" s="23">
        <v>2</v>
      </c>
      <c r="CM21" s="23">
        <v>10</v>
      </c>
      <c r="CN21" s="23">
        <v>6</v>
      </c>
      <c r="CO21" s="23"/>
      <c r="CP21" s="23"/>
      <c r="CQ21" s="23"/>
      <c r="CR21" s="23"/>
      <c r="CS21" s="23"/>
      <c r="CT21" s="23"/>
      <c r="CU21" s="23">
        <v>21</v>
      </c>
      <c r="CV21" s="2"/>
      <c r="CW21" s="2"/>
      <c r="CX21" s="23">
        <v>17</v>
      </c>
      <c r="CY21" s="23" t="s">
        <v>418</v>
      </c>
      <c r="CZ21" s="23" t="s">
        <v>419</v>
      </c>
      <c r="DA21" s="23">
        <v>19</v>
      </c>
      <c r="DB21" s="23">
        <v>0</v>
      </c>
      <c r="DC21" s="23">
        <v>2</v>
      </c>
      <c r="DD21" s="23">
        <v>0</v>
      </c>
      <c r="DE21" s="23">
        <v>0</v>
      </c>
      <c r="DF21" s="23">
        <v>0</v>
      </c>
      <c r="DG21" s="23">
        <v>0</v>
      </c>
      <c r="DH21" s="23"/>
      <c r="DI21" s="23"/>
      <c r="DJ21" s="23">
        <v>21</v>
      </c>
    </row>
    <row r="22" spans="1:114">
      <c r="A22" s="1" t="s">
        <v>27</v>
      </c>
      <c r="B22" s="1" t="s">
        <v>206</v>
      </c>
      <c r="C22" s="1" t="s">
        <v>374</v>
      </c>
      <c r="D22" s="1" t="s">
        <v>221</v>
      </c>
      <c r="E22" s="1" t="s">
        <v>209</v>
      </c>
      <c r="F22" s="1" t="s">
        <v>32</v>
      </c>
      <c r="N22" s="27">
        <v>18</v>
      </c>
      <c r="O22" s="27" t="s">
        <v>32</v>
      </c>
      <c r="P22" s="27" t="s">
        <v>384</v>
      </c>
      <c r="Q22" s="27">
        <v>0</v>
      </c>
      <c r="R22" s="27">
        <v>3</v>
      </c>
      <c r="S22" s="27">
        <v>6</v>
      </c>
      <c r="T22" s="27">
        <v>2</v>
      </c>
      <c r="U22" s="27">
        <v>17</v>
      </c>
      <c r="V22" s="27">
        <v>2</v>
      </c>
      <c r="W22" s="27"/>
      <c r="X22" s="27"/>
      <c r="Y22" s="27"/>
      <c r="Z22" s="27"/>
      <c r="AA22" s="27"/>
      <c r="AB22" s="27"/>
      <c r="AC22" s="28">
        <v>30</v>
      </c>
      <c r="AD22" s="25"/>
      <c r="AE22" s="26"/>
      <c r="AF22" s="2"/>
      <c r="AG22" s="27">
        <v>18</v>
      </c>
      <c r="AH22" s="27" t="s">
        <v>32</v>
      </c>
      <c r="AI22" s="27" t="s">
        <v>384</v>
      </c>
      <c r="AJ22" s="27">
        <v>24</v>
      </c>
      <c r="AK22" s="27">
        <v>0</v>
      </c>
      <c r="AL22" s="27">
        <v>0</v>
      </c>
      <c r="AM22" s="27">
        <v>2</v>
      </c>
      <c r="AN22" s="27">
        <v>4</v>
      </c>
      <c r="AO22" s="27">
        <v>0</v>
      </c>
      <c r="AP22" s="27">
        <v>0</v>
      </c>
      <c r="AQ22" s="27">
        <v>0</v>
      </c>
      <c r="AR22" s="27"/>
      <c r="AS22" s="27">
        <v>0</v>
      </c>
      <c r="AT22" s="27">
        <f t="shared" si="0"/>
        <v>30</v>
      </c>
      <c r="AX22" s="27">
        <v>18</v>
      </c>
      <c r="AY22" s="27" t="s">
        <v>18</v>
      </c>
      <c r="AZ22" s="27" t="s">
        <v>283</v>
      </c>
      <c r="BA22" s="27">
        <v>6</v>
      </c>
      <c r="BB22" s="27">
        <v>3</v>
      </c>
      <c r="BC22" s="27">
        <v>9</v>
      </c>
      <c r="BD22" s="27">
        <v>10</v>
      </c>
      <c r="BE22" s="27">
        <v>6</v>
      </c>
      <c r="BF22" s="27">
        <v>5</v>
      </c>
      <c r="BG22" s="27"/>
      <c r="BH22" s="27"/>
      <c r="BI22" s="27"/>
      <c r="BJ22" s="27"/>
      <c r="BK22" s="27"/>
      <c r="BL22" s="27"/>
      <c r="BM22" s="27">
        <v>39</v>
      </c>
      <c r="BN22" s="2"/>
      <c r="BO22" s="2"/>
      <c r="BP22" s="27">
        <v>18</v>
      </c>
      <c r="BQ22" s="27" t="s">
        <v>18</v>
      </c>
      <c r="BR22" s="27" t="s">
        <v>283</v>
      </c>
      <c r="BS22" s="27">
        <v>30</v>
      </c>
      <c r="BT22" s="27">
        <v>3</v>
      </c>
      <c r="BU22" s="27">
        <v>2</v>
      </c>
      <c r="BV22" s="27">
        <v>4</v>
      </c>
      <c r="BW22" s="27">
        <v>0</v>
      </c>
      <c r="BX22" s="27">
        <v>0</v>
      </c>
      <c r="BY22" s="27">
        <v>0</v>
      </c>
      <c r="BZ22" s="27"/>
      <c r="CA22" s="27">
        <v>0</v>
      </c>
      <c r="CB22" s="27">
        <f t="shared" si="1"/>
        <v>39</v>
      </c>
      <c r="CF22" s="27">
        <v>18</v>
      </c>
      <c r="CG22" s="27" t="s">
        <v>400</v>
      </c>
      <c r="CH22" s="27" t="s">
        <v>401</v>
      </c>
      <c r="CI22" s="27">
        <v>0</v>
      </c>
      <c r="CJ22" s="27">
        <v>1</v>
      </c>
      <c r="CK22" s="27">
        <v>0</v>
      </c>
      <c r="CL22" s="27">
        <v>9</v>
      </c>
      <c r="CM22" s="27">
        <v>9</v>
      </c>
      <c r="CN22" s="27">
        <v>2</v>
      </c>
      <c r="CO22" s="27"/>
      <c r="CP22" s="27"/>
      <c r="CQ22" s="27"/>
      <c r="CR22" s="27"/>
      <c r="CS22" s="27"/>
      <c r="CT22" s="27"/>
      <c r="CU22" s="27">
        <v>21</v>
      </c>
      <c r="CV22" s="2"/>
      <c r="CW22" s="2"/>
      <c r="CX22" s="27">
        <v>18</v>
      </c>
      <c r="CY22" s="27" t="s">
        <v>400</v>
      </c>
      <c r="CZ22" s="27" t="s">
        <v>401</v>
      </c>
      <c r="DA22" s="27">
        <v>21</v>
      </c>
      <c r="DB22" s="27">
        <v>0</v>
      </c>
      <c r="DC22" s="27">
        <v>0</v>
      </c>
      <c r="DD22" s="27">
        <v>0</v>
      </c>
      <c r="DE22" s="27">
        <v>0</v>
      </c>
      <c r="DF22" s="27">
        <v>0</v>
      </c>
      <c r="DG22" s="27">
        <v>0</v>
      </c>
      <c r="DH22" s="27"/>
      <c r="DI22" s="27"/>
      <c r="DJ22" s="27">
        <v>21</v>
      </c>
    </row>
    <row r="23" spans="1:114">
      <c r="A23" s="1" t="s">
        <v>240</v>
      </c>
      <c r="B23" s="1" t="s">
        <v>348</v>
      </c>
      <c r="C23" s="1" t="s">
        <v>363</v>
      </c>
      <c r="D23" s="1" t="s">
        <v>108</v>
      </c>
      <c r="E23" s="1" t="s">
        <v>282</v>
      </c>
      <c r="F23" s="1" t="s">
        <v>173</v>
      </c>
      <c r="N23" s="23">
        <v>19</v>
      </c>
      <c r="O23" s="23" t="s">
        <v>173</v>
      </c>
      <c r="P23" s="23" t="s">
        <v>349</v>
      </c>
      <c r="Q23" s="23">
        <v>2</v>
      </c>
      <c r="R23" s="23">
        <v>4</v>
      </c>
      <c r="S23" s="23">
        <v>7</v>
      </c>
      <c r="T23" s="23">
        <v>7</v>
      </c>
      <c r="U23" s="23">
        <v>7</v>
      </c>
      <c r="V23" s="23">
        <v>2</v>
      </c>
      <c r="W23" s="23"/>
      <c r="X23" s="23"/>
      <c r="Y23" s="23"/>
      <c r="Z23" s="23"/>
      <c r="AA23" s="23"/>
      <c r="AB23" s="23"/>
      <c r="AC23" s="24">
        <v>29</v>
      </c>
      <c r="AD23" s="25"/>
      <c r="AE23" s="26"/>
      <c r="AF23" s="2"/>
      <c r="AG23" s="23">
        <v>19</v>
      </c>
      <c r="AH23" s="23" t="s">
        <v>173</v>
      </c>
      <c r="AI23" s="23" t="s">
        <v>349</v>
      </c>
      <c r="AJ23" s="23">
        <v>27</v>
      </c>
      <c r="AK23" s="23">
        <v>0</v>
      </c>
      <c r="AL23" s="23">
        <v>0</v>
      </c>
      <c r="AM23" s="23">
        <v>0</v>
      </c>
      <c r="AN23" s="23">
        <v>2</v>
      </c>
      <c r="AO23" s="23">
        <v>0</v>
      </c>
      <c r="AP23" s="23">
        <v>0</v>
      </c>
      <c r="AQ23" s="23">
        <v>0</v>
      </c>
      <c r="AR23" s="23"/>
      <c r="AS23" s="23">
        <v>0</v>
      </c>
      <c r="AT23" s="23">
        <f t="shared" si="0"/>
        <v>29</v>
      </c>
      <c r="AX23" s="23">
        <v>19</v>
      </c>
      <c r="AY23" s="23" t="s">
        <v>342</v>
      </c>
      <c r="AZ23" s="23" t="s">
        <v>343</v>
      </c>
      <c r="BA23" s="23">
        <v>0</v>
      </c>
      <c r="BB23" s="23">
        <v>12</v>
      </c>
      <c r="BC23" s="23">
        <v>3</v>
      </c>
      <c r="BD23" s="23">
        <v>7</v>
      </c>
      <c r="BE23" s="23">
        <v>8</v>
      </c>
      <c r="BF23" s="23">
        <v>8</v>
      </c>
      <c r="BG23" s="23"/>
      <c r="BH23" s="23"/>
      <c r="BI23" s="23"/>
      <c r="BJ23" s="23"/>
      <c r="BK23" s="23"/>
      <c r="BL23" s="23"/>
      <c r="BM23" s="23">
        <v>38</v>
      </c>
      <c r="BN23" s="2"/>
      <c r="BO23" s="2"/>
      <c r="BP23" s="23">
        <v>19</v>
      </c>
      <c r="BQ23" s="23" t="s">
        <v>342</v>
      </c>
      <c r="BR23" s="23" t="s">
        <v>343</v>
      </c>
      <c r="BS23" s="23">
        <v>28</v>
      </c>
      <c r="BT23" s="23">
        <v>0</v>
      </c>
      <c r="BU23" s="23">
        <v>10</v>
      </c>
      <c r="BV23" s="23">
        <v>0</v>
      </c>
      <c r="BW23" s="23">
        <v>0</v>
      </c>
      <c r="BX23" s="23">
        <v>0</v>
      </c>
      <c r="BY23" s="23">
        <v>0</v>
      </c>
      <c r="BZ23" s="23"/>
      <c r="CA23" s="23">
        <v>0</v>
      </c>
      <c r="CB23" s="23">
        <f t="shared" si="1"/>
        <v>38</v>
      </c>
      <c r="CF23" s="23">
        <v>19</v>
      </c>
      <c r="CG23" s="23" t="s">
        <v>34</v>
      </c>
      <c r="CH23" s="23" t="s">
        <v>367</v>
      </c>
      <c r="CI23" s="23">
        <v>1</v>
      </c>
      <c r="CJ23" s="23">
        <v>3</v>
      </c>
      <c r="CK23" s="23">
        <v>9</v>
      </c>
      <c r="CL23" s="23">
        <v>2</v>
      </c>
      <c r="CM23" s="23">
        <v>5</v>
      </c>
      <c r="CN23" s="23">
        <v>1</v>
      </c>
      <c r="CO23" s="23"/>
      <c r="CP23" s="23"/>
      <c r="CQ23" s="23"/>
      <c r="CR23" s="23"/>
      <c r="CS23" s="23"/>
      <c r="CT23" s="23"/>
      <c r="CU23" s="23">
        <v>21</v>
      </c>
      <c r="CV23" s="2"/>
      <c r="CW23" s="2"/>
      <c r="CX23" s="23">
        <v>19</v>
      </c>
      <c r="CY23" s="23" t="s">
        <v>34</v>
      </c>
      <c r="CZ23" s="23" t="s">
        <v>367</v>
      </c>
      <c r="DA23" s="23">
        <v>18</v>
      </c>
      <c r="DB23" s="23">
        <v>0</v>
      </c>
      <c r="DC23" s="23">
        <v>1</v>
      </c>
      <c r="DD23" s="23">
        <v>2</v>
      </c>
      <c r="DE23" s="23">
        <v>0</v>
      </c>
      <c r="DF23" s="23">
        <v>0</v>
      </c>
      <c r="DG23" s="23">
        <v>0</v>
      </c>
      <c r="DH23" s="23"/>
      <c r="DI23" s="23"/>
      <c r="DJ23" s="23">
        <v>21</v>
      </c>
    </row>
    <row r="24" spans="1:114">
      <c r="A24" s="1" t="s">
        <v>272</v>
      </c>
      <c r="B24" s="1" t="s">
        <v>184</v>
      </c>
      <c r="C24" s="1" t="s">
        <v>272</v>
      </c>
      <c r="D24" s="1" t="s">
        <v>243</v>
      </c>
      <c r="E24" s="1" t="s">
        <v>204</v>
      </c>
      <c r="F24" s="1" t="s">
        <v>65</v>
      </c>
      <c r="N24" s="27">
        <v>20</v>
      </c>
      <c r="O24" s="27" t="s">
        <v>65</v>
      </c>
      <c r="P24" s="27" t="s">
        <v>284</v>
      </c>
      <c r="Q24" s="27">
        <v>2</v>
      </c>
      <c r="R24" s="27">
        <v>4</v>
      </c>
      <c r="S24" s="27">
        <v>1</v>
      </c>
      <c r="T24" s="27">
        <v>6</v>
      </c>
      <c r="U24" s="27">
        <v>8</v>
      </c>
      <c r="V24" s="27">
        <v>7</v>
      </c>
      <c r="W24" s="27"/>
      <c r="X24" s="27"/>
      <c r="Y24" s="27"/>
      <c r="Z24" s="27"/>
      <c r="AA24" s="27"/>
      <c r="AB24" s="27"/>
      <c r="AC24" s="28">
        <v>28</v>
      </c>
      <c r="AD24" s="25"/>
      <c r="AE24" s="26"/>
      <c r="AF24" s="2"/>
      <c r="AG24" s="27">
        <v>20</v>
      </c>
      <c r="AH24" s="27" t="s">
        <v>65</v>
      </c>
      <c r="AI24" s="27" t="s">
        <v>284</v>
      </c>
      <c r="AJ24" s="27">
        <v>7</v>
      </c>
      <c r="AK24" s="27">
        <v>0</v>
      </c>
      <c r="AL24" s="27">
        <v>0</v>
      </c>
      <c r="AM24" s="27">
        <v>0</v>
      </c>
      <c r="AN24" s="27">
        <v>21</v>
      </c>
      <c r="AO24" s="27">
        <v>0</v>
      </c>
      <c r="AP24" s="27">
        <v>0</v>
      </c>
      <c r="AQ24" s="27">
        <v>0</v>
      </c>
      <c r="AR24" s="27"/>
      <c r="AS24" s="27">
        <v>0</v>
      </c>
      <c r="AT24" s="27">
        <f t="shared" si="0"/>
        <v>28</v>
      </c>
      <c r="AX24" s="27">
        <v>20</v>
      </c>
      <c r="AY24" s="27" t="s">
        <v>296</v>
      </c>
      <c r="AZ24" s="27" t="s">
        <v>297</v>
      </c>
      <c r="BA24" s="27">
        <v>6</v>
      </c>
      <c r="BB24" s="27">
        <v>7</v>
      </c>
      <c r="BC24" s="27">
        <v>5</v>
      </c>
      <c r="BD24" s="27">
        <v>7</v>
      </c>
      <c r="BE24" s="27">
        <v>11</v>
      </c>
      <c r="BF24" s="27">
        <v>1</v>
      </c>
      <c r="BG24" s="27"/>
      <c r="BH24" s="27"/>
      <c r="BI24" s="27"/>
      <c r="BJ24" s="27"/>
      <c r="BK24" s="27"/>
      <c r="BL24" s="27"/>
      <c r="BM24" s="27">
        <v>37</v>
      </c>
      <c r="BN24" s="2"/>
      <c r="BO24" s="2"/>
      <c r="BP24" s="27">
        <v>20</v>
      </c>
      <c r="BQ24" s="27" t="s">
        <v>296</v>
      </c>
      <c r="BR24" s="27" t="s">
        <v>297</v>
      </c>
      <c r="BS24" s="27">
        <v>23</v>
      </c>
      <c r="BT24" s="27">
        <v>0</v>
      </c>
      <c r="BU24" s="27">
        <v>12</v>
      </c>
      <c r="BV24" s="27">
        <v>2</v>
      </c>
      <c r="BW24" s="27">
        <v>0</v>
      </c>
      <c r="BX24" s="27">
        <v>0</v>
      </c>
      <c r="BY24" s="27">
        <v>0</v>
      </c>
      <c r="BZ24" s="27"/>
      <c r="CA24" s="27">
        <v>0</v>
      </c>
      <c r="CB24" s="27">
        <f t="shared" si="1"/>
        <v>37</v>
      </c>
      <c r="CF24" s="27">
        <v>20</v>
      </c>
      <c r="CG24" s="27" t="s">
        <v>410</v>
      </c>
      <c r="CH24" s="27" t="s">
        <v>411</v>
      </c>
      <c r="CI24" s="27">
        <v>0</v>
      </c>
      <c r="CJ24" s="27">
        <v>0</v>
      </c>
      <c r="CK24" s="27">
        <v>2</v>
      </c>
      <c r="CL24" s="27">
        <v>6</v>
      </c>
      <c r="CM24" s="27">
        <v>11</v>
      </c>
      <c r="CN24" s="27">
        <v>1</v>
      </c>
      <c r="CO24" s="27"/>
      <c r="CP24" s="27"/>
      <c r="CQ24" s="27"/>
      <c r="CR24" s="27"/>
      <c r="CS24" s="27"/>
      <c r="CT24" s="27"/>
      <c r="CU24" s="27">
        <v>20</v>
      </c>
      <c r="CV24" s="2"/>
      <c r="CW24" s="2"/>
      <c r="CX24" s="27">
        <v>20</v>
      </c>
      <c r="CY24" s="27" t="s">
        <v>410</v>
      </c>
      <c r="CZ24" s="27" t="s">
        <v>411</v>
      </c>
      <c r="DA24" s="27">
        <v>16</v>
      </c>
      <c r="DB24" s="27">
        <v>0</v>
      </c>
      <c r="DC24" s="27">
        <v>3</v>
      </c>
      <c r="DD24" s="27">
        <v>0</v>
      </c>
      <c r="DE24" s="27">
        <v>0</v>
      </c>
      <c r="DF24" s="27">
        <v>1</v>
      </c>
      <c r="DG24" s="27">
        <v>0</v>
      </c>
      <c r="DH24" s="27"/>
      <c r="DI24" s="27"/>
      <c r="DJ24" s="27">
        <v>20</v>
      </c>
    </row>
    <row r="25" spans="1:114">
      <c r="N25" s="23">
        <v>21</v>
      </c>
      <c r="O25" s="23" t="s">
        <v>282</v>
      </c>
      <c r="P25" s="23" t="s">
        <v>293</v>
      </c>
      <c r="Q25" s="23">
        <v>4</v>
      </c>
      <c r="R25" s="23">
        <v>4</v>
      </c>
      <c r="S25" s="23">
        <v>6</v>
      </c>
      <c r="T25" s="23">
        <v>3</v>
      </c>
      <c r="U25" s="23">
        <v>5</v>
      </c>
      <c r="V25" s="23">
        <v>5</v>
      </c>
      <c r="W25" s="23"/>
      <c r="X25" s="23"/>
      <c r="Y25" s="23"/>
      <c r="Z25" s="23"/>
      <c r="AA25" s="23"/>
      <c r="AB25" s="23"/>
      <c r="AC25" s="24">
        <v>27</v>
      </c>
      <c r="AD25" s="25"/>
      <c r="AE25" s="26"/>
      <c r="AF25" s="2"/>
      <c r="AG25" s="23">
        <v>21</v>
      </c>
      <c r="AH25" s="23" t="s">
        <v>282</v>
      </c>
      <c r="AI25" s="23" t="s">
        <v>293</v>
      </c>
      <c r="AJ25" s="23">
        <v>23</v>
      </c>
      <c r="AK25" s="23">
        <v>0</v>
      </c>
      <c r="AL25" s="23">
        <v>0</v>
      </c>
      <c r="AM25" s="23">
        <v>1</v>
      </c>
      <c r="AN25" s="23">
        <v>3</v>
      </c>
      <c r="AO25" s="23">
        <v>0</v>
      </c>
      <c r="AP25" s="23">
        <v>0</v>
      </c>
      <c r="AQ25" s="23">
        <v>0</v>
      </c>
      <c r="AR25" s="23"/>
      <c r="AS25" s="23">
        <v>0</v>
      </c>
      <c r="AT25" s="23">
        <f t="shared" si="0"/>
        <v>27</v>
      </c>
      <c r="AX25" s="23">
        <v>21</v>
      </c>
      <c r="AY25" s="23" t="s">
        <v>316</v>
      </c>
      <c r="AZ25" s="23" t="s">
        <v>317</v>
      </c>
      <c r="BA25" s="23">
        <v>10</v>
      </c>
      <c r="BB25" s="23">
        <v>17</v>
      </c>
      <c r="BC25" s="23">
        <v>3</v>
      </c>
      <c r="BD25" s="23">
        <v>0</v>
      </c>
      <c r="BE25" s="23">
        <v>3</v>
      </c>
      <c r="BF25" s="23">
        <v>2</v>
      </c>
      <c r="BG25" s="23"/>
      <c r="BH25" s="23"/>
      <c r="BI25" s="23"/>
      <c r="BJ25" s="23"/>
      <c r="BK25" s="23"/>
      <c r="BL25" s="23"/>
      <c r="BM25" s="23">
        <v>35</v>
      </c>
      <c r="BN25" s="2"/>
      <c r="BO25" s="2"/>
      <c r="BP25" s="23">
        <v>21</v>
      </c>
      <c r="BQ25" s="23" t="s">
        <v>316</v>
      </c>
      <c r="BR25" s="23" t="s">
        <v>317</v>
      </c>
      <c r="BS25" s="23">
        <v>29</v>
      </c>
      <c r="BT25" s="23">
        <v>0</v>
      </c>
      <c r="BU25" s="23">
        <v>5</v>
      </c>
      <c r="BV25" s="23">
        <v>0</v>
      </c>
      <c r="BW25" s="23">
        <v>0</v>
      </c>
      <c r="BX25" s="23">
        <v>1</v>
      </c>
      <c r="BY25" s="23">
        <v>0</v>
      </c>
      <c r="BZ25" s="23"/>
      <c r="CA25" s="23">
        <v>0</v>
      </c>
      <c r="CB25" s="23">
        <f t="shared" si="1"/>
        <v>35</v>
      </c>
      <c r="CF25" s="23">
        <v>21</v>
      </c>
      <c r="CG25" s="23" t="s">
        <v>397</v>
      </c>
      <c r="CH25" s="23" t="s">
        <v>398</v>
      </c>
      <c r="CI25" s="23">
        <v>1</v>
      </c>
      <c r="CJ25" s="23">
        <v>1</v>
      </c>
      <c r="CK25" s="23">
        <v>2</v>
      </c>
      <c r="CL25" s="23">
        <v>6</v>
      </c>
      <c r="CM25" s="23">
        <v>4</v>
      </c>
      <c r="CN25" s="23">
        <v>6</v>
      </c>
      <c r="CO25" s="23"/>
      <c r="CP25" s="23"/>
      <c r="CQ25" s="23"/>
      <c r="CR25" s="23"/>
      <c r="CS25" s="23"/>
      <c r="CT25" s="23"/>
      <c r="CU25" s="23">
        <v>20</v>
      </c>
      <c r="CV25" s="2"/>
      <c r="CW25" s="2"/>
      <c r="CX25" s="23">
        <v>21</v>
      </c>
      <c r="CY25" s="23" t="s">
        <v>397</v>
      </c>
      <c r="CZ25" s="23" t="s">
        <v>398</v>
      </c>
      <c r="DA25" s="23">
        <v>11</v>
      </c>
      <c r="DB25" s="23">
        <v>0</v>
      </c>
      <c r="DC25" s="23">
        <v>8</v>
      </c>
      <c r="DD25" s="23">
        <v>1</v>
      </c>
      <c r="DE25" s="23">
        <v>0</v>
      </c>
      <c r="DF25" s="23">
        <v>0</v>
      </c>
      <c r="DG25" s="23">
        <v>0</v>
      </c>
      <c r="DH25" s="23"/>
      <c r="DI25" s="23"/>
      <c r="DJ25" s="23">
        <v>20</v>
      </c>
    </row>
    <row r="26" spans="1:114">
      <c r="N26" s="27">
        <v>22</v>
      </c>
      <c r="O26" s="27" t="s">
        <v>204</v>
      </c>
      <c r="P26" s="27" t="s">
        <v>388</v>
      </c>
      <c r="Q26" s="27">
        <v>1</v>
      </c>
      <c r="R26" s="27">
        <v>2</v>
      </c>
      <c r="S26" s="27">
        <v>5</v>
      </c>
      <c r="T26" s="27">
        <v>4</v>
      </c>
      <c r="U26" s="27">
        <v>10</v>
      </c>
      <c r="V26" s="27">
        <v>5</v>
      </c>
      <c r="W26" s="27"/>
      <c r="X26" s="27"/>
      <c r="Y26" s="27"/>
      <c r="Z26" s="27"/>
      <c r="AA26" s="27"/>
      <c r="AB26" s="27"/>
      <c r="AC26" s="28">
        <v>27</v>
      </c>
      <c r="AD26" s="25"/>
      <c r="AE26" s="26"/>
      <c r="AF26" s="2"/>
      <c r="AG26" s="27">
        <v>22</v>
      </c>
      <c r="AH26" s="27" t="s">
        <v>204</v>
      </c>
      <c r="AI26" s="27" t="s">
        <v>388</v>
      </c>
      <c r="AJ26" s="27">
        <v>19</v>
      </c>
      <c r="AK26" s="27">
        <v>1</v>
      </c>
      <c r="AL26" s="27">
        <v>0</v>
      </c>
      <c r="AM26" s="27">
        <v>0</v>
      </c>
      <c r="AN26" s="27">
        <v>7</v>
      </c>
      <c r="AO26" s="27">
        <v>0</v>
      </c>
      <c r="AP26" s="27">
        <v>0</v>
      </c>
      <c r="AQ26" s="27">
        <v>0</v>
      </c>
      <c r="AR26" s="27"/>
      <c r="AS26" s="27">
        <v>0</v>
      </c>
      <c r="AT26" s="27">
        <f t="shared" si="0"/>
        <v>27</v>
      </c>
      <c r="AX26" s="27">
        <v>22</v>
      </c>
      <c r="AY26" s="27" t="s">
        <v>148</v>
      </c>
      <c r="AZ26" s="27" t="s">
        <v>350</v>
      </c>
      <c r="BA26" s="27">
        <v>1</v>
      </c>
      <c r="BB26" s="27">
        <v>7</v>
      </c>
      <c r="BC26" s="27">
        <v>3</v>
      </c>
      <c r="BD26" s="27">
        <v>6</v>
      </c>
      <c r="BE26" s="27">
        <v>8</v>
      </c>
      <c r="BF26" s="27">
        <v>9</v>
      </c>
      <c r="BG26" s="27"/>
      <c r="BH26" s="27"/>
      <c r="BI26" s="27"/>
      <c r="BJ26" s="27"/>
      <c r="BK26" s="27"/>
      <c r="BL26" s="27"/>
      <c r="BM26" s="27">
        <v>34</v>
      </c>
      <c r="BN26" s="2"/>
      <c r="BO26" s="2"/>
      <c r="BP26" s="27">
        <v>22</v>
      </c>
      <c r="BQ26" s="27" t="s">
        <v>148</v>
      </c>
      <c r="BR26" s="27" t="s">
        <v>350</v>
      </c>
      <c r="BS26" s="27">
        <v>24</v>
      </c>
      <c r="BT26" s="27">
        <v>0</v>
      </c>
      <c r="BU26" s="27">
        <v>2</v>
      </c>
      <c r="BV26" s="27">
        <v>8</v>
      </c>
      <c r="BW26" s="27">
        <v>0</v>
      </c>
      <c r="BX26" s="27">
        <v>0</v>
      </c>
      <c r="BY26" s="27">
        <v>0</v>
      </c>
      <c r="BZ26" s="27"/>
      <c r="CA26" s="27">
        <v>0</v>
      </c>
      <c r="CB26" s="27">
        <f t="shared" si="1"/>
        <v>34</v>
      </c>
      <c r="CF26" s="27">
        <v>22</v>
      </c>
      <c r="CG26" s="27" t="s">
        <v>289</v>
      </c>
      <c r="CH26" s="27" t="s">
        <v>290</v>
      </c>
      <c r="CI26" s="27">
        <v>7</v>
      </c>
      <c r="CJ26" s="27">
        <v>1</v>
      </c>
      <c r="CK26" s="27">
        <v>0</v>
      </c>
      <c r="CL26" s="27">
        <v>2</v>
      </c>
      <c r="CM26" s="27">
        <v>4</v>
      </c>
      <c r="CN26" s="27">
        <v>6</v>
      </c>
      <c r="CO26" s="27"/>
      <c r="CP26" s="27"/>
      <c r="CQ26" s="27"/>
      <c r="CR26" s="27"/>
      <c r="CS26" s="27"/>
      <c r="CT26" s="27"/>
      <c r="CU26" s="27">
        <v>20</v>
      </c>
      <c r="CV26" s="2"/>
      <c r="CW26" s="2"/>
      <c r="CX26" s="27">
        <v>22</v>
      </c>
      <c r="CY26" s="27" t="s">
        <v>289</v>
      </c>
      <c r="CZ26" s="27" t="s">
        <v>290</v>
      </c>
      <c r="DA26" s="27">
        <v>16</v>
      </c>
      <c r="DB26" s="27">
        <v>0</v>
      </c>
      <c r="DC26" s="27">
        <v>2</v>
      </c>
      <c r="DD26" s="27">
        <v>2</v>
      </c>
      <c r="DE26" s="27">
        <v>0</v>
      </c>
      <c r="DF26" s="27">
        <v>0</v>
      </c>
      <c r="DG26" s="27">
        <v>0</v>
      </c>
      <c r="DH26" s="27"/>
      <c r="DI26" s="27"/>
      <c r="DJ26" s="27">
        <v>20</v>
      </c>
    </row>
    <row r="27" spans="1:114">
      <c r="A27" s="30">
        <v>2022</v>
      </c>
      <c r="N27" s="23">
        <v>23</v>
      </c>
      <c r="O27" s="23" t="s">
        <v>285</v>
      </c>
      <c r="P27" s="23" t="s">
        <v>286</v>
      </c>
      <c r="Q27" s="23">
        <v>3</v>
      </c>
      <c r="R27" s="23">
        <v>1</v>
      </c>
      <c r="S27" s="23">
        <v>3</v>
      </c>
      <c r="T27" s="23">
        <v>5</v>
      </c>
      <c r="U27" s="23">
        <v>6</v>
      </c>
      <c r="V27" s="23">
        <v>9</v>
      </c>
      <c r="W27" s="23"/>
      <c r="X27" s="23"/>
      <c r="Y27" s="23"/>
      <c r="Z27" s="23"/>
      <c r="AA27" s="23"/>
      <c r="AB27" s="23"/>
      <c r="AC27" s="24">
        <v>27</v>
      </c>
      <c r="AD27" s="25"/>
      <c r="AE27" s="26"/>
      <c r="AF27" s="2"/>
      <c r="AG27" s="23">
        <v>23</v>
      </c>
      <c r="AH27" s="23" t="s">
        <v>285</v>
      </c>
      <c r="AI27" s="23" t="s">
        <v>286</v>
      </c>
      <c r="AJ27" s="23">
        <v>24</v>
      </c>
      <c r="AK27" s="23">
        <v>0</v>
      </c>
      <c r="AL27" s="23">
        <v>0</v>
      </c>
      <c r="AM27" s="23">
        <v>2</v>
      </c>
      <c r="AN27" s="23">
        <v>1</v>
      </c>
      <c r="AO27" s="23">
        <v>0</v>
      </c>
      <c r="AP27" s="23">
        <v>0</v>
      </c>
      <c r="AQ27" s="23">
        <v>0</v>
      </c>
      <c r="AR27" s="23"/>
      <c r="AS27" s="23">
        <v>0</v>
      </c>
      <c r="AT27" s="23">
        <f t="shared" si="0"/>
        <v>27</v>
      </c>
      <c r="AX27" s="23">
        <v>23</v>
      </c>
      <c r="AY27" s="23" t="s">
        <v>346</v>
      </c>
      <c r="AZ27" s="23" t="s">
        <v>347</v>
      </c>
      <c r="BA27" s="23">
        <v>1</v>
      </c>
      <c r="BB27" s="23">
        <v>9</v>
      </c>
      <c r="BC27" s="23">
        <v>6</v>
      </c>
      <c r="BD27" s="23">
        <v>6</v>
      </c>
      <c r="BE27" s="23">
        <v>4</v>
      </c>
      <c r="BF27" s="23">
        <v>7</v>
      </c>
      <c r="BG27" s="23"/>
      <c r="BH27" s="23"/>
      <c r="BI27" s="23"/>
      <c r="BJ27" s="23"/>
      <c r="BK27" s="23"/>
      <c r="BL27" s="23"/>
      <c r="BM27" s="23">
        <v>33</v>
      </c>
      <c r="BN27" s="2"/>
      <c r="BO27" s="2"/>
      <c r="BP27" s="23">
        <v>23</v>
      </c>
      <c r="BQ27" s="23" t="s">
        <v>346</v>
      </c>
      <c r="BR27" s="23" t="s">
        <v>347</v>
      </c>
      <c r="BS27" s="23">
        <v>28</v>
      </c>
      <c r="BT27" s="23">
        <v>1</v>
      </c>
      <c r="BU27" s="23">
        <v>1</v>
      </c>
      <c r="BV27" s="23">
        <v>3</v>
      </c>
      <c r="BW27" s="23">
        <v>0</v>
      </c>
      <c r="BX27" s="23">
        <v>0</v>
      </c>
      <c r="BY27" s="23">
        <v>0</v>
      </c>
      <c r="BZ27" s="23"/>
      <c r="CA27" s="23">
        <v>0</v>
      </c>
      <c r="CB27" s="23">
        <f t="shared" si="1"/>
        <v>33</v>
      </c>
      <c r="CF27" s="23">
        <v>23</v>
      </c>
      <c r="CG27" s="23" t="s">
        <v>362</v>
      </c>
      <c r="CH27" s="23" t="e">
        <v>#N/A</v>
      </c>
      <c r="CI27" s="23">
        <v>0</v>
      </c>
      <c r="CJ27" s="23">
        <v>4</v>
      </c>
      <c r="CK27" s="23">
        <v>2</v>
      </c>
      <c r="CL27" s="23">
        <v>7</v>
      </c>
      <c r="CM27" s="23">
        <v>5</v>
      </c>
      <c r="CN27" s="23">
        <v>2</v>
      </c>
      <c r="CO27" s="23"/>
      <c r="CP27" s="23"/>
      <c r="CQ27" s="23"/>
      <c r="CR27" s="23"/>
      <c r="CS27" s="23"/>
      <c r="CT27" s="23"/>
      <c r="CU27" s="23">
        <v>20</v>
      </c>
      <c r="CV27" s="2"/>
      <c r="CW27" s="2"/>
      <c r="CX27" s="23">
        <v>23</v>
      </c>
      <c r="CY27" s="23" t="s">
        <v>362</v>
      </c>
      <c r="CZ27" s="23" t="e">
        <v>#N/A</v>
      </c>
      <c r="DA27" s="23">
        <v>16</v>
      </c>
      <c r="DB27" s="23">
        <v>0</v>
      </c>
      <c r="DC27" s="23">
        <v>0</v>
      </c>
      <c r="DD27" s="23">
        <v>4</v>
      </c>
      <c r="DE27" s="23">
        <v>0</v>
      </c>
      <c r="DF27" s="23">
        <v>0</v>
      </c>
      <c r="DG27" s="23">
        <v>0</v>
      </c>
      <c r="DH27" s="23"/>
      <c r="DI27" s="23"/>
      <c r="DJ27" s="23">
        <v>20</v>
      </c>
    </row>
    <row r="28" spans="1:114">
      <c r="A28" s="15" t="s">
        <v>0</v>
      </c>
      <c r="B28" s="15" t="s">
        <v>1</v>
      </c>
      <c r="C28" s="15" t="s">
        <v>2</v>
      </c>
      <c r="D28" s="15" t="s">
        <v>3</v>
      </c>
      <c r="E28" s="15" t="s">
        <v>4</v>
      </c>
      <c r="F28" s="15" t="s">
        <v>5</v>
      </c>
      <c r="G28" s="15" t="s">
        <v>6</v>
      </c>
      <c r="H28" s="15" t="s">
        <v>7</v>
      </c>
      <c r="I28" s="15" t="s">
        <v>8</v>
      </c>
      <c r="J28" s="15" t="s">
        <v>9</v>
      </c>
      <c r="K28" s="15" t="s">
        <v>10</v>
      </c>
      <c r="L28" s="15" t="s">
        <v>11</v>
      </c>
      <c r="N28" s="27">
        <v>24</v>
      </c>
      <c r="O28" s="27" t="s">
        <v>26</v>
      </c>
      <c r="P28" s="27" t="s">
        <v>383</v>
      </c>
      <c r="Q28" s="27">
        <v>1</v>
      </c>
      <c r="R28" s="27">
        <v>2</v>
      </c>
      <c r="S28" s="27">
        <v>6</v>
      </c>
      <c r="T28" s="27">
        <v>4</v>
      </c>
      <c r="U28" s="27">
        <v>10</v>
      </c>
      <c r="V28" s="27">
        <v>3</v>
      </c>
      <c r="W28" s="27"/>
      <c r="X28" s="27"/>
      <c r="Y28" s="27"/>
      <c r="Z28" s="27"/>
      <c r="AA28" s="27"/>
      <c r="AB28" s="27"/>
      <c r="AC28" s="28">
        <v>26</v>
      </c>
      <c r="AD28" s="25"/>
      <c r="AE28" s="26"/>
      <c r="AF28" s="2"/>
      <c r="AG28" s="27">
        <v>24</v>
      </c>
      <c r="AH28" s="27" t="s">
        <v>26</v>
      </c>
      <c r="AI28" s="27" t="s">
        <v>383</v>
      </c>
      <c r="AJ28" s="27">
        <v>18</v>
      </c>
      <c r="AK28" s="27">
        <v>1</v>
      </c>
      <c r="AL28" s="27">
        <v>0</v>
      </c>
      <c r="AM28" s="27">
        <v>0</v>
      </c>
      <c r="AN28" s="27">
        <v>7</v>
      </c>
      <c r="AO28" s="27">
        <v>0</v>
      </c>
      <c r="AP28" s="27">
        <v>0</v>
      </c>
      <c r="AQ28" s="27">
        <v>0</v>
      </c>
      <c r="AR28" s="27"/>
      <c r="AS28" s="27">
        <v>0</v>
      </c>
      <c r="AT28" s="27">
        <f t="shared" si="0"/>
        <v>26</v>
      </c>
      <c r="AX28" s="27">
        <v>24</v>
      </c>
      <c r="AY28" s="27" t="s">
        <v>360</v>
      </c>
      <c r="AZ28" s="27" t="s">
        <v>361</v>
      </c>
      <c r="BA28" s="27">
        <v>3</v>
      </c>
      <c r="BB28" s="27">
        <v>3</v>
      </c>
      <c r="BC28" s="27">
        <v>2</v>
      </c>
      <c r="BD28" s="27">
        <v>7</v>
      </c>
      <c r="BE28" s="27">
        <v>9</v>
      </c>
      <c r="BF28" s="27">
        <v>9</v>
      </c>
      <c r="BG28" s="27"/>
      <c r="BH28" s="27"/>
      <c r="BI28" s="27"/>
      <c r="BJ28" s="27"/>
      <c r="BK28" s="27"/>
      <c r="BL28" s="27"/>
      <c r="BM28" s="27">
        <v>33</v>
      </c>
      <c r="BN28" s="2"/>
      <c r="BO28" s="2"/>
      <c r="BP28" s="27">
        <v>24</v>
      </c>
      <c r="BQ28" s="27" t="s">
        <v>360</v>
      </c>
      <c r="BR28" s="27" t="s">
        <v>361</v>
      </c>
      <c r="BS28" s="27">
        <v>24</v>
      </c>
      <c r="BT28" s="27">
        <v>0</v>
      </c>
      <c r="BU28" s="27">
        <v>3</v>
      </c>
      <c r="BV28" s="27">
        <v>6</v>
      </c>
      <c r="BW28" s="27">
        <v>0</v>
      </c>
      <c r="BX28" s="27">
        <v>0</v>
      </c>
      <c r="BY28" s="27">
        <v>0</v>
      </c>
      <c r="BZ28" s="27"/>
      <c r="CA28" s="27">
        <v>0</v>
      </c>
      <c r="CB28" s="27">
        <f t="shared" si="1"/>
        <v>33</v>
      </c>
      <c r="CF28" s="27">
        <v>24</v>
      </c>
      <c r="CG28" s="27" t="s">
        <v>248</v>
      </c>
      <c r="CH28" s="27" t="s">
        <v>249</v>
      </c>
      <c r="CI28" s="27">
        <v>0</v>
      </c>
      <c r="CJ28" s="27">
        <v>1</v>
      </c>
      <c r="CK28" s="27">
        <v>7</v>
      </c>
      <c r="CL28" s="27">
        <v>2</v>
      </c>
      <c r="CM28" s="27">
        <v>7</v>
      </c>
      <c r="CN28" s="27">
        <v>2</v>
      </c>
      <c r="CO28" s="27"/>
      <c r="CP28" s="27"/>
      <c r="CQ28" s="27"/>
      <c r="CR28" s="27"/>
      <c r="CS28" s="27"/>
      <c r="CT28" s="27"/>
      <c r="CU28" s="27">
        <v>19</v>
      </c>
      <c r="CV28" s="2"/>
      <c r="CW28" s="2"/>
      <c r="CX28" s="27">
        <v>24</v>
      </c>
      <c r="CY28" s="27" t="s">
        <v>248</v>
      </c>
      <c r="CZ28" s="27" t="s">
        <v>249</v>
      </c>
      <c r="DA28" s="27">
        <v>18</v>
      </c>
      <c r="DB28" s="27">
        <v>0</v>
      </c>
      <c r="DC28" s="27">
        <v>1</v>
      </c>
      <c r="DD28" s="27">
        <v>0</v>
      </c>
      <c r="DE28" s="27">
        <v>0</v>
      </c>
      <c r="DF28" s="27">
        <v>0</v>
      </c>
      <c r="DG28" s="27">
        <v>0</v>
      </c>
      <c r="DH28" s="27"/>
      <c r="DI28" s="27"/>
      <c r="DJ28" s="27">
        <v>19</v>
      </c>
    </row>
    <row r="29" spans="1:114">
      <c r="A29" s="1" t="s">
        <v>257</v>
      </c>
      <c r="B29" s="1" t="s">
        <v>260</v>
      </c>
      <c r="C29" s="1" t="s">
        <v>260</v>
      </c>
      <c r="D29" s="1" t="s">
        <v>281</v>
      </c>
      <c r="E29" s="1" t="s">
        <v>281</v>
      </c>
      <c r="F29" s="1" t="s">
        <v>281</v>
      </c>
      <c r="G29" s="1" t="s">
        <v>281</v>
      </c>
      <c r="H29" s="1" t="s">
        <v>281</v>
      </c>
      <c r="I29" s="1" t="s">
        <v>35</v>
      </c>
      <c r="J29" s="1" t="s">
        <v>35</v>
      </c>
      <c r="K29" s="1" t="s">
        <v>137</v>
      </c>
      <c r="L29" s="1" t="s">
        <v>137</v>
      </c>
      <c r="N29" s="23">
        <v>25</v>
      </c>
      <c r="O29" s="23" t="s">
        <v>395</v>
      </c>
      <c r="P29" s="23" t="s">
        <v>396</v>
      </c>
      <c r="Q29" s="23">
        <v>2</v>
      </c>
      <c r="R29" s="23">
        <v>3</v>
      </c>
      <c r="S29" s="23">
        <v>0</v>
      </c>
      <c r="T29" s="23">
        <v>18</v>
      </c>
      <c r="U29" s="23">
        <v>2</v>
      </c>
      <c r="V29" s="23">
        <v>0</v>
      </c>
      <c r="W29" s="23"/>
      <c r="X29" s="23"/>
      <c r="Y29" s="23"/>
      <c r="Z29" s="23"/>
      <c r="AA29" s="23"/>
      <c r="AB29" s="23"/>
      <c r="AC29" s="24">
        <v>25</v>
      </c>
      <c r="AD29" s="25"/>
      <c r="AE29" s="26"/>
      <c r="AF29" s="2"/>
      <c r="AG29" s="23">
        <v>25</v>
      </c>
      <c r="AH29" s="23" t="s">
        <v>395</v>
      </c>
      <c r="AI29" s="23" t="s">
        <v>396</v>
      </c>
      <c r="AJ29" s="23">
        <v>22</v>
      </c>
      <c r="AK29" s="23">
        <v>1</v>
      </c>
      <c r="AL29" s="23">
        <v>0</v>
      </c>
      <c r="AM29" s="23">
        <v>2</v>
      </c>
      <c r="AN29" s="23">
        <v>0</v>
      </c>
      <c r="AO29" s="23">
        <v>0</v>
      </c>
      <c r="AP29" s="23">
        <v>0</v>
      </c>
      <c r="AQ29" s="23">
        <v>0</v>
      </c>
      <c r="AR29" s="23"/>
      <c r="AS29" s="23">
        <v>0</v>
      </c>
      <c r="AT29" s="23">
        <f t="shared" si="0"/>
        <v>25</v>
      </c>
      <c r="AX29" s="23">
        <v>25</v>
      </c>
      <c r="AY29" s="23" t="s">
        <v>58</v>
      </c>
      <c r="AZ29" s="23" t="s">
        <v>432</v>
      </c>
      <c r="BA29" s="23">
        <v>1</v>
      </c>
      <c r="BB29" s="23">
        <v>1</v>
      </c>
      <c r="BC29" s="23">
        <v>2</v>
      </c>
      <c r="BD29" s="23">
        <v>6</v>
      </c>
      <c r="BE29" s="23">
        <v>8</v>
      </c>
      <c r="BF29" s="23">
        <v>13</v>
      </c>
      <c r="BG29" s="23"/>
      <c r="BH29" s="23"/>
      <c r="BI29" s="23"/>
      <c r="BJ29" s="23"/>
      <c r="BK29" s="23"/>
      <c r="BL29" s="23"/>
      <c r="BM29" s="23">
        <v>31</v>
      </c>
      <c r="BN29" s="2"/>
      <c r="BO29" s="2"/>
      <c r="BP29" s="23">
        <v>25</v>
      </c>
      <c r="BQ29" s="23" t="s">
        <v>58</v>
      </c>
      <c r="BR29" s="23" t="s">
        <v>432</v>
      </c>
      <c r="BS29" s="23">
        <v>29</v>
      </c>
      <c r="BT29" s="23">
        <v>0</v>
      </c>
      <c r="BU29" s="23">
        <v>0</v>
      </c>
      <c r="BV29" s="23">
        <v>2</v>
      </c>
      <c r="BW29" s="23">
        <v>0</v>
      </c>
      <c r="BX29" s="23">
        <v>0</v>
      </c>
      <c r="BY29" s="23">
        <v>0</v>
      </c>
      <c r="BZ29" s="23"/>
      <c r="CA29" s="23">
        <v>0</v>
      </c>
      <c r="CB29" s="23">
        <f t="shared" si="1"/>
        <v>31</v>
      </c>
      <c r="CF29" s="23">
        <v>25</v>
      </c>
      <c r="CG29" s="23" t="s">
        <v>173</v>
      </c>
      <c r="CH29" s="23" t="s">
        <v>349</v>
      </c>
      <c r="CI29" s="23">
        <v>1</v>
      </c>
      <c r="CJ29" s="23">
        <v>2</v>
      </c>
      <c r="CK29" s="23">
        <v>4</v>
      </c>
      <c r="CL29" s="23">
        <v>5</v>
      </c>
      <c r="CM29" s="23">
        <v>5</v>
      </c>
      <c r="CN29" s="23">
        <v>1</v>
      </c>
      <c r="CO29" s="23"/>
      <c r="CP29" s="23"/>
      <c r="CQ29" s="23"/>
      <c r="CR29" s="23"/>
      <c r="CS29" s="23"/>
      <c r="CT29" s="23"/>
      <c r="CU29" s="23">
        <v>18</v>
      </c>
      <c r="CV29" s="2"/>
      <c r="CW29" s="2"/>
      <c r="CX29" s="23">
        <v>25</v>
      </c>
      <c r="CY29" s="23" t="s">
        <v>173</v>
      </c>
      <c r="CZ29" s="23" t="s">
        <v>349</v>
      </c>
      <c r="DA29" s="23">
        <v>17</v>
      </c>
      <c r="DB29" s="23">
        <v>0</v>
      </c>
      <c r="DC29" s="23">
        <v>0</v>
      </c>
      <c r="DD29" s="23">
        <v>1</v>
      </c>
      <c r="DE29" s="23">
        <v>0</v>
      </c>
      <c r="DF29" s="23">
        <v>0</v>
      </c>
      <c r="DG29" s="23">
        <v>0</v>
      </c>
      <c r="DH29" s="23"/>
      <c r="DI29" s="23"/>
      <c r="DJ29" s="23">
        <v>18</v>
      </c>
    </row>
    <row r="30" spans="1:114">
      <c r="A30" s="1" t="s">
        <v>258</v>
      </c>
      <c r="B30" s="1" t="s">
        <v>274</v>
      </c>
      <c r="C30" s="1" t="s">
        <v>274</v>
      </c>
      <c r="D30" s="1" t="s">
        <v>260</v>
      </c>
      <c r="E30" s="1" t="s">
        <v>137</v>
      </c>
      <c r="F30" s="1" t="s">
        <v>209</v>
      </c>
      <c r="G30" s="1" t="s">
        <v>35</v>
      </c>
      <c r="H30" s="1" t="s">
        <v>35</v>
      </c>
      <c r="I30" s="1" t="s">
        <v>281</v>
      </c>
      <c r="J30" s="1" t="s">
        <v>137</v>
      </c>
      <c r="K30" s="1" t="s">
        <v>35</v>
      </c>
      <c r="L30" s="1" t="s">
        <v>209</v>
      </c>
      <c r="N30" s="27">
        <v>26</v>
      </c>
      <c r="O30" s="27" t="s">
        <v>334</v>
      </c>
      <c r="P30" s="27" t="s">
        <v>335</v>
      </c>
      <c r="Q30" s="27">
        <v>2</v>
      </c>
      <c r="R30" s="27">
        <v>8</v>
      </c>
      <c r="S30" s="27">
        <v>1</v>
      </c>
      <c r="T30" s="27">
        <v>3</v>
      </c>
      <c r="U30" s="27">
        <v>6</v>
      </c>
      <c r="V30" s="27">
        <v>3</v>
      </c>
      <c r="W30" s="27"/>
      <c r="X30" s="27"/>
      <c r="Y30" s="27"/>
      <c r="Z30" s="27"/>
      <c r="AA30" s="27"/>
      <c r="AB30" s="27"/>
      <c r="AC30" s="28">
        <v>23</v>
      </c>
      <c r="AD30" s="25"/>
      <c r="AE30" s="26"/>
      <c r="AF30" s="2"/>
      <c r="AG30" s="27">
        <v>26</v>
      </c>
      <c r="AH30" s="27" t="s">
        <v>334</v>
      </c>
      <c r="AI30" s="27" t="s">
        <v>335</v>
      </c>
      <c r="AJ30" s="27">
        <v>17</v>
      </c>
      <c r="AK30" s="27">
        <v>0</v>
      </c>
      <c r="AL30" s="27">
        <v>0</v>
      </c>
      <c r="AM30" s="27">
        <v>0</v>
      </c>
      <c r="AN30" s="27">
        <v>6</v>
      </c>
      <c r="AO30" s="27">
        <v>0</v>
      </c>
      <c r="AP30" s="27">
        <v>0</v>
      </c>
      <c r="AQ30" s="27">
        <v>0</v>
      </c>
      <c r="AR30" s="27"/>
      <c r="AS30" s="27">
        <v>0</v>
      </c>
      <c r="AT30" s="27">
        <f t="shared" si="0"/>
        <v>23</v>
      </c>
      <c r="AX30" s="27">
        <v>26</v>
      </c>
      <c r="AY30" s="27" t="s">
        <v>386</v>
      </c>
      <c r="AZ30" s="27" t="s">
        <v>387</v>
      </c>
      <c r="BA30" s="27">
        <v>3</v>
      </c>
      <c r="BB30" s="27">
        <v>0</v>
      </c>
      <c r="BC30" s="27">
        <v>7</v>
      </c>
      <c r="BD30" s="27">
        <v>6</v>
      </c>
      <c r="BE30" s="27">
        <v>7</v>
      </c>
      <c r="BF30" s="27">
        <v>7</v>
      </c>
      <c r="BG30" s="27"/>
      <c r="BH30" s="27"/>
      <c r="BI30" s="27"/>
      <c r="BJ30" s="27"/>
      <c r="BK30" s="27"/>
      <c r="BL30" s="27"/>
      <c r="BM30" s="27">
        <v>30</v>
      </c>
      <c r="BN30" s="2"/>
      <c r="BO30" s="2"/>
      <c r="BP30" s="27">
        <v>26</v>
      </c>
      <c r="BQ30" s="27" t="s">
        <v>386</v>
      </c>
      <c r="BR30" s="27" t="s">
        <v>387</v>
      </c>
      <c r="BS30" s="27">
        <v>27</v>
      </c>
      <c r="BT30" s="27">
        <v>0</v>
      </c>
      <c r="BU30" s="27">
        <v>2</v>
      </c>
      <c r="BV30" s="27">
        <v>1</v>
      </c>
      <c r="BW30" s="27">
        <v>0</v>
      </c>
      <c r="BX30" s="27">
        <v>0</v>
      </c>
      <c r="BY30" s="27">
        <v>0</v>
      </c>
      <c r="BZ30" s="27"/>
      <c r="CA30" s="27">
        <v>0</v>
      </c>
      <c r="CB30" s="27">
        <f t="shared" si="1"/>
        <v>30</v>
      </c>
      <c r="CF30" s="27">
        <v>26</v>
      </c>
      <c r="CG30" s="27" t="s">
        <v>54</v>
      </c>
      <c r="CH30" s="27" t="s">
        <v>385</v>
      </c>
      <c r="CI30" s="27">
        <v>2</v>
      </c>
      <c r="CJ30" s="27">
        <v>1</v>
      </c>
      <c r="CK30" s="27">
        <v>4</v>
      </c>
      <c r="CL30" s="27">
        <v>2</v>
      </c>
      <c r="CM30" s="27">
        <v>4</v>
      </c>
      <c r="CN30" s="27">
        <v>5</v>
      </c>
      <c r="CO30" s="27"/>
      <c r="CP30" s="27"/>
      <c r="CQ30" s="27"/>
      <c r="CR30" s="27"/>
      <c r="CS30" s="27"/>
      <c r="CT30" s="27"/>
      <c r="CU30" s="27">
        <v>18</v>
      </c>
      <c r="CV30" s="2"/>
      <c r="CW30" s="2"/>
      <c r="CX30" s="27">
        <v>26</v>
      </c>
      <c r="CY30" s="27" t="s">
        <v>54</v>
      </c>
      <c r="CZ30" s="27" t="s">
        <v>385</v>
      </c>
      <c r="DA30" s="27">
        <v>15</v>
      </c>
      <c r="DB30" s="27">
        <v>0</v>
      </c>
      <c r="DC30" s="27">
        <v>0</v>
      </c>
      <c r="DD30" s="27">
        <v>3</v>
      </c>
      <c r="DE30" s="27">
        <v>0</v>
      </c>
      <c r="DF30" s="27">
        <v>0</v>
      </c>
      <c r="DG30" s="27">
        <v>0</v>
      </c>
      <c r="DH30" s="27"/>
      <c r="DI30" s="27"/>
      <c r="DJ30" s="27">
        <v>18</v>
      </c>
    </row>
    <row r="31" spans="1:114">
      <c r="A31" s="1" t="s">
        <v>137</v>
      </c>
      <c r="B31" s="1" t="s">
        <v>257</v>
      </c>
      <c r="C31" s="1" t="s">
        <v>281</v>
      </c>
      <c r="D31" s="1" t="s">
        <v>35</v>
      </c>
      <c r="E31" s="1" t="s">
        <v>209</v>
      </c>
      <c r="F31" s="1" t="s">
        <v>137</v>
      </c>
      <c r="G31" s="1" t="s">
        <v>137</v>
      </c>
      <c r="H31" s="1" t="s">
        <v>209</v>
      </c>
      <c r="I31" s="1" t="s">
        <v>137</v>
      </c>
      <c r="J31" s="1" t="s">
        <v>209</v>
      </c>
      <c r="K31" s="1" t="s">
        <v>209</v>
      </c>
      <c r="L31" s="1" t="s">
        <v>35</v>
      </c>
      <c r="N31" s="23">
        <v>27</v>
      </c>
      <c r="O31" s="23" t="s">
        <v>184</v>
      </c>
      <c r="P31" s="23" t="s">
        <v>189</v>
      </c>
      <c r="Q31" s="23">
        <v>3</v>
      </c>
      <c r="R31" s="23">
        <v>4</v>
      </c>
      <c r="S31" s="23">
        <v>2</v>
      </c>
      <c r="T31" s="23">
        <v>2</v>
      </c>
      <c r="U31" s="23">
        <v>3</v>
      </c>
      <c r="V31" s="23">
        <v>9</v>
      </c>
      <c r="W31" s="23"/>
      <c r="X31" s="23"/>
      <c r="Y31" s="23"/>
      <c r="Z31" s="23"/>
      <c r="AA31" s="23"/>
      <c r="AB31" s="23"/>
      <c r="AC31" s="24">
        <v>23</v>
      </c>
      <c r="AD31" s="25"/>
      <c r="AE31" s="26"/>
      <c r="AF31" s="2"/>
      <c r="AG31" s="23">
        <v>27</v>
      </c>
      <c r="AH31" s="23" t="s">
        <v>184</v>
      </c>
      <c r="AI31" s="23" t="s">
        <v>189</v>
      </c>
      <c r="AJ31" s="23">
        <v>11</v>
      </c>
      <c r="AK31" s="23">
        <v>0</v>
      </c>
      <c r="AL31" s="23">
        <v>0</v>
      </c>
      <c r="AM31" s="23">
        <v>0</v>
      </c>
      <c r="AN31" s="23">
        <v>12</v>
      </c>
      <c r="AO31" s="23">
        <v>0</v>
      </c>
      <c r="AP31" s="23">
        <v>0</v>
      </c>
      <c r="AQ31" s="23">
        <v>0</v>
      </c>
      <c r="AR31" s="23"/>
      <c r="AS31" s="23">
        <v>0</v>
      </c>
      <c r="AT31" s="23">
        <f t="shared" si="0"/>
        <v>23</v>
      </c>
      <c r="AX31" s="23">
        <v>27</v>
      </c>
      <c r="AY31" s="23" t="s">
        <v>379</v>
      </c>
      <c r="AZ31" s="23" t="s">
        <v>380</v>
      </c>
      <c r="BA31" s="23">
        <v>0</v>
      </c>
      <c r="BB31" s="23">
        <v>1</v>
      </c>
      <c r="BC31" s="23">
        <v>5</v>
      </c>
      <c r="BD31" s="23">
        <v>6</v>
      </c>
      <c r="BE31" s="23">
        <v>3</v>
      </c>
      <c r="BF31" s="23">
        <v>14</v>
      </c>
      <c r="BG31" s="23"/>
      <c r="BH31" s="23"/>
      <c r="BI31" s="23"/>
      <c r="BJ31" s="23"/>
      <c r="BK31" s="23"/>
      <c r="BL31" s="23"/>
      <c r="BM31" s="23">
        <v>29</v>
      </c>
      <c r="BN31" s="2"/>
      <c r="BO31" s="2"/>
      <c r="BP31" s="23">
        <v>27</v>
      </c>
      <c r="BQ31" s="23" t="s">
        <v>379</v>
      </c>
      <c r="BR31" s="23" t="s">
        <v>380</v>
      </c>
      <c r="BS31" s="23">
        <v>24</v>
      </c>
      <c r="BT31" s="23">
        <v>0</v>
      </c>
      <c r="BU31" s="23">
        <v>2</v>
      </c>
      <c r="BV31" s="23">
        <v>3</v>
      </c>
      <c r="BW31" s="23">
        <v>0</v>
      </c>
      <c r="BX31" s="23">
        <v>0</v>
      </c>
      <c r="BY31" s="23">
        <v>0</v>
      </c>
      <c r="BZ31" s="23"/>
      <c r="CA31" s="23">
        <v>0</v>
      </c>
      <c r="CB31" s="23">
        <f t="shared" si="1"/>
        <v>29</v>
      </c>
      <c r="CF31" s="23">
        <v>27</v>
      </c>
      <c r="CG31" s="23" t="s">
        <v>303</v>
      </c>
      <c r="CH31" s="23" t="s">
        <v>415</v>
      </c>
      <c r="CI31" s="23">
        <v>0</v>
      </c>
      <c r="CJ31" s="23">
        <v>0</v>
      </c>
      <c r="CK31" s="23">
        <v>0</v>
      </c>
      <c r="CL31" s="23">
        <v>1</v>
      </c>
      <c r="CM31" s="23">
        <v>16</v>
      </c>
      <c r="CN31" s="23">
        <v>0</v>
      </c>
      <c r="CO31" s="23"/>
      <c r="CP31" s="23"/>
      <c r="CQ31" s="23"/>
      <c r="CR31" s="23"/>
      <c r="CS31" s="23"/>
      <c r="CT31" s="23"/>
      <c r="CU31" s="23">
        <v>17</v>
      </c>
      <c r="CV31" s="2"/>
      <c r="CW31" s="2"/>
      <c r="CX31" s="23">
        <v>27</v>
      </c>
      <c r="CY31" s="23" t="s">
        <v>303</v>
      </c>
      <c r="CZ31" s="23" t="s">
        <v>415</v>
      </c>
      <c r="DA31" s="23">
        <v>15</v>
      </c>
      <c r="DB31" s="23">
        <v>0</v>
      </c>
      <c r="DC31" s="23">
        <v>2</v>
      </c>
      <c r="DD31" s="23">
        <v>0</v>
      </c>
      <c r="DE31" s="23">
        <v>0</v>
      </c>
      <c r="DF31" s="23">
        <v>0</v>
      </c>
      <c r="DG31" s="23">
        <v>0</v>
      </c>
      <c r="DH31" s="23"/>
      <c r="DI31" s="23"/>
      <c r="DJ31" s="23">
        <v>17</v>
      </c>
    </row>
    <row r="32" spans="1:114">
      <c r="A32" s="1" t="s">
        <v>209</v>
      </c>
      <c r="B32" s="1" t="s">
        <v>259</v>
      </c>
      <c r="C32" s="1" t="s">
        <v>137</v>
      </c>
      <c r="D32" s="1" t="s">
        <v>148</v>
      </c>
      <c r="E32" s="1" t="s">
        <v>260</v>
      </c>
      <c r="F32" s="1" t="s">
        <v>184</v>
      </c>
      <c r="G32" s="1" t="s">
        <v>209</v>
      </c>
      <c r="H32" s="1" t="s">
        <v>137</v>
      </c>
      <c r="I32" s="1" t="s">
        <v>209</v>
      </c>
      <c r="J32" s="1" t="s">
        <v>281</v>
      </c>
      <c r="K32" s="1" t="s">
        <v>65</v>
      </c>
      <c r="L32" s="1" t="s">
        <v>65</v>
      </c>
      <c r="N32" s="27">
        <v>28</v>
      </c>
      <c r="O32" s="27" t="s">
        <v>206</v>
      </c>
      <c r="P32" s="27" t="s">
        <v>444</v>
      </c>
      <c r="Q32" s="27">
        <v>2</v>
      </c>
      <c r="R32" s="27">
        <v>5</v>
      </c>
      <c r="S32" s="27">
        <v>2</v>
      </c>
      <c r="T32" s="27">
        <v>2</v>
      </c>
      <c r="U32" s="27">
        <v>3</v>
      </c>
      <c r="V32" s="27">
        <v>9</v>
      </c>
      <c r="W32" s="27"/>
      <c r="X32" s="27"/>
      <c r="Y32" s="27"/>
      <c r="Z32" s="27"/>
      <c r="AA32" s="27"/>
      <c r="AB32" s="27"/>
      <c r="AC32" s="28">
        <v>23</v>
      </c>
      <c r="AD32" s="25"/>
      <c r="AE32" s="26"/>
      <c r="AF32" s="2"/>
      <c r="AG32" s="27">
        <v>28</v>
      </c>
      <c r="AH32" s="27" t="s">
        <v>206</v>
      </c>
      <c r="AI32" s="27" t="s">
        <v>444</v>
      </c>
      <c r="AJ32" s="27">
        <v>15</v>
      </c>
      <c r="AK32" s="27">
        <v>0</v>
      </c>
      <c r="AL32" s="27">
        <v>0</v>
      </c>
      <c r="AM32" s="27">
        <v>0</v>
      </c>
      <c r="AN32" s="27">
        <v>8</v>
      </c>
      <c r="AO32" s="27">
        <v>0</v>
      </c>
      <c r="AP32" s="27">
        <v>0</v>
      </c>
      <c r="AQ32" s="27">
        <v>0</v>
      </c>
      <c r="AR32" s="27"/>
      <c r="AS32" s="27">
        <v>0</v>
      </c>
      <c r="AT32" s="27">
        <f t="shared" si="0"/>
        <v>23</v>
      </c>
      <c r="AX32" s="27">
        <v>28</v>
      </c>
      <c r="AY32" s="27" t="s">
        <v>66</v>
      </c>
      <c r="AZ32" s="27" t="s">
        <v>323</v>
      </c>
      <c r="BA32" s="27">
        <v>7</v>
      </c>
      <c r="BB32" s="27">
        <v>5</v>
      </c>
      <c r="BC32" s="27">
        <v>6</v>
      </c>
      <c r="BD32" s="27">
        <v>5</v>
      </c>
      <c r="BE32" s="27">
        <v>5</v>
      </c>
      <c r="BF32" s="27">
        <v>1</v>
      </c>
      <c r="BG32" s="27"/>
      <c r="BH32" s="27"/>
      <c r="BI32" s="27"/>
      <c r="BJ32" s="27"/>
      <c r="BK32" s="27"/>
      <c r="BL32" s="27"/>
      <c r="BM32" s="27">
        <v>29</v>
      </c>
      <c r="BN32" s="2"/>
      <c r="BO32" s="2"/>
      <c r="BP32" s="27">
        <v>28</v>
      </c>
      <c r="BQ32" s="27" t="s">
        <v>66</v>
      </c>
      <c r="BR32" s="27" t="s">
        <v>323</v>
      </c>
      <c r="BS32" s="27">
        <v>26</v>
      </c>
      <c r="BT32" s="27">
        <v>0</v>
      </c>
      <c r="BU32" s="27">
        <v>3</v>
      </c>
      <c r="BV32" s="27">
        <v>0</v>
      </c>
      <c r="BW32" s="27">
        <v>0</v>
      </c>
      <c r="BX32" s="27">
        <v>0</v>
      </c>
      <c r="BY32" s="27">
        <v>0</v>
      </c>
      <c r="BZ32" s="27"/>
      <c r="CA32" s="27">
        <v>0</v>
      </c>
      <c r="CB32" s="27">
        <f t="shared" si="1"/>
        <v>29</v>
      </c>
      <c r="CF32" s="27">
        <v>28</v>
      </c>
      <c r="CG32" s="27" t="s">
        <v>159</v>
      </c>
      <c r="CH32" s="27" t="s">
        <v>399</v>
      </c>
      <c r="CI32" s="27">
        <v>0</v>
      </c>
      <c r="CJ32" s="27">
        <v>2</v>
      </c>
      <c r="CK32" s="27">
        <v>3</v>
      </c>
      <c r="CL32" s="27">
        <v>5</v>
      </c>
      <c r="CM32" s="27">
        <v>2</v>
      </c>
      <c r="CN32" s="27">
        <v>5</v>
      </c>
      <c r="CO32" s="27"/>
      <c r="CP32" s="27"/>
      <c r="CQ32" s="27"/>
      <c r="CR32" s="27"/>
      <c r="CS32" s="27"/>
      <c r="CT32" s="27"/>
      <c r="CU32" s="27">
        <v>17</v>
      </c>
      <c r="CV32" s="2"/>
      <c r="CW32" s="2"/>
      <c r="CX32" s="27">
        <v>28</v>
      </c>
      <c r="CY32" s="27" t="s">
        <v>159</v>
      </c>
      <c r="CZ32" s="27" t="s">
        <v>399</v>
      </c>
      <c r="DA32" s="27">
        <v>15</v>
      </c>
      <c r="DB32" s="27">
        <v>0</v>
      </c>
      <c r="DC32" s="27">
        <v>0</v>
      </c>
      <c r="DD32" s="27">
        <v>2</v>
      </c>
      <c r="DE32" s="27">
        <v>0</v>
      </c>
      <c r="DF32" s="27">
        <v>0</v>
      </c>
      <c r="DG32" s="27">
        <v>0</v>
      </c>
      <c r="DH32" s="27"/>
      <c r="DI32" s="27"/>
      <c r="DJ32" s="27">
        <v>17</v>
      </c>
    </row>
    <row r="33" spans="1:114">
      <c r="A33" s="1" t="s">
        <v>259</v>
      </c>
      <c r="B33" s="1" t="s">
        <v>137</v>
      </c>
      <c r="C33" s="1" t="s">
        <v>253</v>
      </c>
      <c r="D33" s="1" t="s">
        <v>242</v>
      </c>
      <c r="E33" s="1" t="s">
        <v>35</v>
      </c>
      <c r="F33" s="1" t="s">
        <v>35</v>
      </c>
      <c r="G33" s="1" t="s">
        <v>65</v>
      </c>
      <c r="H33" s="1" t="s">
        <v>65</v>
      </c>
      <c r="I33" s="1" t="s">
        <v>65</v>
      </c>
      <c r="J33" s="1" t="s">
        <v>65</v>
      </c>
      <c r="K33" s="1" t="s">
        <v>281</v>
      </c>
      <c r="L33" s="1" t="s">
        <v>281</v>
      </c>
      <c r="N33" s="23">
        <v>29</v>
      </c>
      <c r="O33" s="23" t="s">
        <v>437</v>
      </c>
      <c r="P33" s="23" t="s">
        <v>438</v>
      </c>
      <c r="Q33" s="23">
        <v>1</v>
      </c>
      <c r="R33" s="23">
        <v>1</v>
      </c>
      <c r="S33" s="23">
        <v>3</v>
      </c>
      <c r="T33" s="23">
        <v>5</v>
      </c>
      <c r="U33" s="23">
        <v>5</v>
      </c>
      <c r="V33" s="23">
        <v>8</v>
      </c>
      <c r="W33" s="23"/>
      <c r="X33" s="23"/>
      <c r="Y33" s="23"/>
      <c r="Z33" s="23"/>
      <c r="AA33" s="23"/>
      <c r="AB33" s="23"/>
      <c r="AC33" s="24">
        <v>23</v>
      </c>
      <c r="AD33" s="25"/>
      <c r="AE33" s="26"/>
      <c r="AF33" s="2"/>
      <c r="AG33" s="23">
        <v>29</v>
      </c>
      <c r="AH33" s="23" t="s">
        <v>437</v>
      </c>
      <c r="AI33" s="23" t="s">
        <v>438</v>
      </c>
      <c r="AJ33" s="23">
        <v>21</v>
      </c>
      <c r="AK33" s="23">
        <v>0</v>
      </c>
      <c r="AL33" s="23">
        <v>0</v>
      </c>
      <c r="AM33" s="23">
        <v>0</v>
      </c>
      <c r="AN33" s="23">
        <v>2</v>
      </c>
      <c r="AO33" s="23">
        <v>0</v>
      </c>
      <c r="AP33" s="23">
        <v>0</v>
      </c>
      <c r="AQ33" s="23">
        <v>0</v>
      </c>
      <c r="AR33" s="23"/>
      <c r="AS33" s="23">
        <v>0</v>
      </c>
      <c r="AT33" s="23">
        <f t="shared" si="0"/>
        <v>23</v>
      </c>
      <c r="AX33" s="23">
        <v>29</v>
      </c>
      <c r="AY33" s="23" t="s">
        <v>416</v>
      </c>
      <c r="AZ33" s="23" t="e">
        <v>#N/A</v>
      </c>
      <c r="BA33" s="23">
        <v>0</v>
      </c>
      <c r="BB33" s="23">
        <v>5</v>
      </c>
      <c r="BC33" s="23">
        <v>4</v>
      </c>
      <c r="BD33" s="23">
        <v>2</v>
      </c>
      <c r="BE33" s="23">
        <v>15</v>
      </c>
      <c r="BF33" s="23">
        <v>1</v>
      </c>
      <c r="BG33" s="23"/>
      <c r="BH33" s="23"/>
      <c r="BI33" s="23"/>
      <c r="BJ33" s="23"/>
      <c r="BK33" s="23"/>
      <c r="BL33" s="23"/>
      <c r="BM33" s="23">
        <v>27</v>
      </c>
      <c r="BN33" s="2"/>
      <c r="BO33" s="2"/>
      <c r="BP33" s="23">
        <v>29</v>
      </c>
      <c r="BQ33" s="23" t="s">
        <v>416</v>
      </c>
      <c r="BR33" s="23" t="e">
        <v>#N/A</v>
      </c>
      <c r="BS33" s="23">
        <v>26</v>
      </c>
      <c r="BT33" s="23">
        <v>0</v>
      </c>
      <c r="BU33" s="23">
        <v>0</v>
      </c>
      <c r="BV33" s="23">
        <v>1</v>
      </c>
      <c r="BW33" s="23">
        <v>0</v>
      </c>
      <c r="BX33" s="23">
        <v>0</v>
      </c>
      <c r="BY33" s="23">
        <v>0</v>
      </c>
      <c r="BZ33" s="23"/>
      <c r="CA33" s="23">
        <v>0</v>
      </c>
      <c r="CB33" s="23">
        <f t="shared" si="1"/>
        <v>27</v>
      </c>
      <c r="CF33" s="23">
        <v>29</v>
      </c>
      <c r="CG33" s="23" t="s">
        <v>133</v>
      </c>
      <c r="CH33" s="23" t="s">
        <v>295</v>
      </c>
      <c r="CI33" s="23">
        <v>0</v>
      </c>
      <c r="CJ33" s="23">
        <v>3</v>
      </c>
      <c r="CK33" s="23">
        <v>1</v>
      </c>
      <c r="CL33" s="23">
        <v>5</v>
      </c>
      <c r="CM33" s="23">
        <v>6</v>
      </c>
      <c r="CN33" s="23">
        <v>2</v>
      </c>
      <c r="CO33" s="23"/>
      <c r="CP33" s="23"/>
      <c r="CQ33" s="23"/>
      <c r="CR33" s="23"/>
      <c r="CS33" s="23"/>
      <c r="CT33" s="23"/>
      <c r="CU33" s="23">
        <v>17</v>
      </c>
      <c r="CV33" s="2"/>
      <c r="CW33" s="2"/>
      <c r="CX33" s="23">
        <v>29</v>
      </c>
      <c r="CY33" s="23" t="s">
        <v>133</v>
      </c>
      <c r="CZ33" s="23" t="s">
        <v>295</v>
      </c>
      <c r="DA33" s="23">
        <v>13</v>
      </c>
      <c r="DB33" s="23">
        <v>0</v>
      </c>
      <c r="DC33" s="23">
        <v>4</v>
      </c>
      <c r="DD33" s="23">
        <v>0</v>
      </c>
      <c r="DE33" s="23">
        <v>0</v>
      </c>
      <c r="DF33" s="23">
        <v>0</v>
      </c>
      <c r="DG33" s="23">
        <v>0</v>
      </c>
      <c r="DH33" s="23"/>
      <c r="DI33" s="23"/>
      <c r="DJ33" s="23">
        <v>17</v>
      </c>
    </row>
    <row r="34" spans="1:114">
      <c r="A34" s="1" t="s">
        <v>260</v>
      </c>
      <c r="B34" s="1" t="s">
        <v>258</v>
      </c>
      <c r="C34" s="1" t="s">
        <v>209</v>
      </c>
      <c r="D34" s="1" t="s">
        <v>184</v>
      </c>
      <c r="E34" s="1" t="s">
        <v>65</v>
      </c>
      <c r="F34" s="1" t="s">
        <v>65</v>
      </c>
      <c r="G34" s="1" t="s">
        <v>26</v>
      </c>
      <c r="H34" s="1" t="s">
        <v>26</v>
      </c>
      <c r="I34" s="1" t="s">
        <v>26</v>
      </c>
      <c r="J34" s="1" t="s">
        <v>184</v>
      </c>
      <c r="K34" s="1" t="s">
        <v>184</v>
      </c>
      <c r="L34" s="1" t="s">
        <v>184</v>
      </c>
      <c r="N34" s="27">
        <v>30</v>
      </c>
      <c r="O34" s="27" t="s">
        <v>374</v>
      </c>
      <c r="P34" s="27" t="s">
        <v>375</v>
      </c>
      <c r="Q34" s="27">
        <v>2</v>
      </c>
      <c r="R34" s="27">
        <v>2</v>
      </c>
      <c r="S34" s="27">
        <v>6</v>
      </c>
      <c r="T34" s="27">
        <v>8</v>
      </c>
      <c r="U34" s="27">
        <v>3</v>
      </c>
      <c r="V34" s="27">
        <v>1</v>
      </c>
      <c r="W34" s="27"/>
      <c r="X34" s="27"/>
      <c r="Y34" s="27"/>
      <c r="Z34" s="27"/>
      <c r="AA34" s="27"/>
      <c r="AB34" s="27"/>
      <c r="AC34" s="28">
        <v>22</v>
      </c>
      <c r="AD34" s="25"/>
      <c r="AE34" s="26"/>
      <c r="AF34" s="2"/>
      <c r="AG34" s="27">
        <v>30</v>
      </c>
      <c r="AH34" s="27" t="s">
        <v>374</v>
      </c>
      <c r="AI34" s="27" t="s">
        <v>375</v>
      </c>
      <c r="AJ34" s="27">
        <v>19</v>
      </c>
      <c r="AK34" s="27">
        <v>1</v>
      </c>
      <c r="AL34" s="27">
        <v>0</v>
      </c>
      <c r="AM34" s="27">
        <v>0</v>
      </c>
      <c r="AN34" s="27">
        <v>2</v>
      </c>
      <c r="AO34" s="27">
        <v>0</v>
      </c>
      <c r="AP34" s="27">
        <v>0</v>
      </c>
      <c r="AQ34" s="27">
        <v>0</v>
      </c>
      <c r="AR34" s="27"/>
      <c r="AS34" s="27">
        <v>0</v>
      </c>
      <c r="AT34" s="27">
        <f t="shared" si="0"/>
        <v>22</v>
      </c>
      <c r="AX34" s="27">
        <v>30</v>
      </c>
      <c r="AY34" s="27" t="s">
        <v>417</v>
      </c>
      <c r="AZ34" s="27" t="e">
        <v>#N/A</v>
      </c>
      <c r="BA34" s="27">
        <v>0</v>
      </c>
      <c r="BB34" s="27">
        <v>6</v>
      </c>
      <c r="BC34" s="27">
        <v>4</v>
      </c>
      <c r="BD34" s="27">
        <v>1</v>
      </c>
      <c r="BE34" s="27">
        <v>14</v>
      </c>
      <c r="BF34" s="27">
        <v>1</v>
      </c>
      <c r="BG34" s="27"/>
      <c r="BH34" s="27"/>
      <c r="BI34" s="27"/>
      <c r="BJ34" s="27"/>
      <c r="BK34" s="27"/>
      <c r="BL34" s="27"/>
      <c r="BM34" s="27">
        <v>26</v>
      </c>
      <c r="BN34" s="2"/>
      <c r="BO34" s="2"/>
      <c r="BP34" s="27">
        <v>30</v>
      </c>
      <c r="BQ34" s="27" t="s">
        <v>417</v>
      </c>
      <c r="BR34" s="27" t="e">
        <v>#N/A</v>
      </c>
      <c r="BS34" s="27">
        <v>24</v>
      </c>
      <c r="BT34" s="27">
        <v>0</v>
      </c>
      <c r="BU34" s="27">
        <v>1</v>
      </c>
      <c r="BV34" s="27">
        <v>1</v>
      </c>
      <c r="BW34" s="27">
        <v>0</v>
      </c>
      <c r="BX34" s="27">
        <v>0</v>
      </c>
      <c r="BY34" s="27">
        <v>0</v>
      </c>
      <c r="BZ34" s="27"/>
      <c r="CA34" s="27">
        <v>0</v>
      </c>
      <c r="CB34" s="27">
        <f t="shared" si="1"/>
        <v>26</v>
      </c>
      <c r="CF34" s="27">
        <v>30</v>
      </c>
      <c r="CG34" s="27" t="s">
        <v>243</v>
      </c>
      <c r="CH34" s="27" t="s">
        <v>292</v>
      </c>
      <c r="CI34" s="27">
        <v>2</v>
      </c>
      <c r="CJ34" s="27">
        <v>3</v>
      </c>
      <c r="CK34" s="27">
        <v>6</v>
      </c>
      <c r="CL34" s="27">
        <v>3</v>
      </c>
      <c r="CM34" s="27">
        <v>2</v>
      </c>
      <c r="CN34" s="27">
        <v>0</v>
      </c>
      <c r="CO34" s="27"/>
      <c r="CP34" s="27"/>
      <c r="CQ34" s="27"/>
      <c r="CR34" s="27"/>
      <c r="CS34" s="27"/>
      <c r="CT34" s="27"/>
      <c r="CU34" s="27">
        <v>16</v>
      </c>
      <c r="CV34" s="2"/>
      <c r="CW34" s="2"/>
      <c r="CX34" s="27">
        <v>30</v>
      </c>
      <c r="CY34" s="27" t="s">
        <v>243</v>
      </c>
      <c r="CZ34" s="27" t="s">
        <v>292</v>
      </c>
      <c r="DA34" s="27">
        <v>8</v>
      </c>
      <c r="DB34" s="27">
        <v>0</v>
      </c>
      <c r="DC34" s="27">
        <v>0</v>
      </c>
      <c r="DD34" s="27">
        <v>8</v>
      </c>
      <c r="DE34" s="27">
        <v>0</v>
      </c>
      <c r="DF34" s="27">
        <v>0</v>
      </c>
      <c r="DG34" s="27">
        <v>0</v>
      </c>
      <c r="DH34" s="27"/>
      <c r="DI34" s="27"/>
      <c r="DJ34" s="27">
        <v>16</v>
      </c>
    </row>
    <row r="35" spans="1:114">
      <c r="A35" s="1" t="s">
        <v>261</v>
      </c>
      <c r="B35" s="1" t="s">
        <v>209</v>
      </c>
      <c r="C35" s="1" t="s">
        <v>259</v>
      </c>
      <c r="D35" s="1" t="s">
        <v>274</v>
      </c>
      <c r="E35" s="1" t="s">
        <v>184</v>
      </c>
      <c r="F35" s="1" t="s">
        <v>26</v>
      </c>
      <c r="G35" s="1" t="s">
        <v>285</v>
      </c>
      <c r="H35" s="1" t="s">
        <v>184</v>
      </c>
      <c r="I35" s="1" t="s">
        <v>285</v>
      </c>
      <c r="J35" s="1" t="s">
        <v>26</v>
      </c>
      <c r="K35" s="1" t="s">
        <v>243</v>
      </c>
      <c r="L35" s="1" t="s">
        <v>243</v>
      </c>
      <c r="N35" s="23">
        <v>31</v>
      </c>
      <c r="O35" s="23" t="s">
        <v>289</v>
      </c>
      <c r="P35" s="23" t="s">
        <v>290</v>
      </c>
      <c r="Q35" s="23">
        <v>3</v>
      </c>
      <c r="R35" s="23">
        <v>1</v>
      </c>
      <c r="S35" s="23">
        <v>6</v>
      </c>
      <c r="T35" s="23">
        <v>1</v>
      </c>
      <c r="U35" s="23">
        <v>6</v>
      </c>
      <c r="V35" s="23">
        <v>5</v>
      </c>
      <c r="W35" s="23"/>
      <c r="X35" s="23"/>
      <c r="Y35" s="23"/>
      <c r="Z35" s="23"/>
      <c r="AA35" s="23"/>
      <c r="AB35" s="23"/>
      <c r="AC35" s="24">
        <v>22</v>
      </c>
      <c r="AD35" s="25"/>
      <c r="AE35" s="26"/>
      <c r="AF35" s="2"/>
      <c r="AG35" s="23">
        <v>31</v>
      </c>
      <c r="AH35" s="23" t="s">
        <v>289</v>
      </c>
      <c r="AI35" s="23" t="s">
        <v>290</v>
      </c>
      <c r="AJ35" s="23">
        <v>20</v>
      </c>
      <c r="AK35" s="23">
        <v>0</v>
      </c>
      <c r="AL35" s="23">
        <v>0</v>
      </c>
      <c r="AM35" s="23">
        <v>0</v>
      </c>
      <c r="AN35" s="23">
        <v>2</v>
      </c>
      <c r="AO35" s="23">
        <v>0</v>
      </c>
      <c r="AP35" s="23">
        <v>0</v>
      </c>
      <c r="AQ35" s="23">
        <v>0</v>
      </c>
      <c r="AR35" s="23"/>
      <c r="AS35" s="23">
        <v>0</v>
      </c>
      <c r="AT35" s="23">
        <f t="shared" si="0"/>
        <v>22</v>
      </c>
      <c r="AX35" s="23">
        <v>31</v>
      </c>
      <c r="AY35" s="23" t="s">
        <v>445</v>
      </c>
      <c r="AZ35" s="23" t="s">
        <v>446</v>
      </c>
      <c r="BA35" s="23">
        <v>0</v>
      </c>
      <c r="BB35" s="23">
        <v>4</v>
      </c>
      <c r="BC35" s="23">
        <v>4</v>
      </c>
      <c r="BD35" s="23">
        <v>2</v>
      </c>
      <c r="BE35" s="23">
        <v>2</v>
      </c>
      <c r="BF35" s="23">
        <v>11</v>
      </c>
      <c r="BG35" s="23"/>
      <c r="BH35" s="23"/>
      <c r="BI35" s="23"/>
      <c r="BJ35" s="23"/>
      <c r="BK35" s="23"/>
      <c r="BL35" s="23"/>
      <c r="BM35" s="23">
        <v>23</v>
      </c>
      <c r="BN35" s="2"/>
      <c r="BO35" s="2"/>
      <c r="BP35" s="23">
        <v>31</v>
      </c>
      <c r="BQ35" s="23" t="s">
        <v>445</v>
      </c>
      <c r="BR35" s="23" t="s">
        <v>446</v>
      </c>
      <c r="BS35" s="23">
        <v>23</v>
      </c>
      <c r="BT35" s="23">
        <v>0</v>
      </c>
      <c r="BU35" s="23">
        <v>0</v>
      </c>
      <c r="BV35" s="23">
        <v>0</v>
      </c>
      <c r="BW35" s="23">
        <v>0</v>
      </c>
      <c r="BX35" s="23">
        <v>0</v>
      </c>
      <c r="BY35" s="23">
        <v>0</v>
      </c>
      <c r="BZ35" s="23"/>
      <c r="CA35" s="23">
        <v>0</v>
      </c>
      <c r="CB35" s="23">
        <f t="shared" si="1"/>
        <v>23</v>
      </c>
      <c r="CF35" s="23">
        <v>31</v>
      </c>
      <c r="CG35" s="23" t="s">
        <v>430</v>
      </c>
      <c r="CH35" s="23" t="s">
        <v>431</v>
      </c>
      <c r="CI35" s="23">
        <v>0</v>
      </c>
      <c r="CJ35" s="23">
        <v>1</v>
      </c>
      <c r="CK35" s="23">
        <v>2</v>
      </c>
      <c r="CL35" s="23">
        <v>3</v>
      </c>
      <c r="CM35" s="23">
        <v>6</v>
      </c>
      <c r="CN35" s="23">
        <v>4</v>
      </c>
      <c r="CO35" s="23"/>
      <c r="CP35" s="23"/>
      <c r="CQ35" s="23"/>
      <c r="CR35" s="23"/>
      <c r="CS35" s="23"/>
      <c r="CT35" s="23"/>
      <c r="CU35" s="23">
        <v>16</v>
      </c>
      <c r="CV35" s="2"/>
      <c r="CW35" s="2"/>
      <c r="CX35" s="23">
        <v>31</v>
      </c>
      <c r="CY35" s="23" t="s">
        <v>430</v>
      </c>
      <c r="CZ35" s="23" t="s">
        <v>431</v>
      </c>
      <c r="DA35" s="23">
        <v>12</v>
      </c>
      <c r="DB35" s="23">
        <v>0</v>
      </c>
      <c r="DC35" s="23">
        <v>2</v>
      </c>
      <c r="DD35" s="23">
        <v>2</v>
      </c>
      <c r="DE35" s="23">
        <v>0</v>
      </c>
      <c r="DF35" s="23">
        <v>0</v>
      </c>
      <c r="DG35" s="23">
        <v>0</v>
      </c>
      <c r="DH35" s="23"/>
      <c r="DI35" s="23"/>
      <c r="DJ35" s="23">
        <v>16</v>
      </c>
    </row>
    <row r="36" spans="1:114">
      <c r="A36" s="1" t="s">
        <v>262</v>
      </c>
      <c r="B36" s="1" t="s">
        <v>242</v>
      </c>
      <c r="C36" s="1" t="s">
        <v>257</v>
      </c>
      <c r="D36" s="1" t="s">
        <v>209</v>
      </c>
      <c r="E36" s="1" t="s">
        <v>243</v>
      </c>
      <c r="F36" s="1" t="s">
        <v>260</v>
      </c>
      <c r="G36" s="1" t="s">
        <v>184</v>
      </c>
      <c r="H36" s="1" t="s">
        <v>285</v>
      </c>
      <c r="I36" s="1" t="s">
        <v>184</v>
      </c>
      <c r="J36" s="1" t="s">
        <v>243</v>
      </c>
      <c r="K36" s="1" t="s">
        <v>51</v>
      </c>
      <c r="L36" s="1" t="s">
        <v>51</v>
      </c>
      <c r="N36" s="27">
        <v>32</v>
      </c>
      <c r="O36" s="27" t="s">
        <v>336</v>
      </c>
      <c r="P36" s="27" t="s">
        <v>337</v>
      </c>
      <c r="Q36" s="27">
        <v>1</v>
      </c>
      <c r="R36" s="27">
        <v>8</v>
      </c>
      <c r="S36" s="27">
        <v>6</v>
      </c>
      <c r="T36" s="27">
        <v>1</v>
      </c>
      <c r="U36" s="27">
        <v>4</v>
      </c>
      <c r="V36" s="27">
        <v>2</v>
      </c>
      <c r="W36" s="27"/>
      <c r="X36" s="27"/>
      <c r="Y36" s="27"/>
      <c r="Z36" s="27"/>
      <c r="AA36" s="27"/>
      <c r="AB36" s="27"/>
      <c r="AC36" s="28">
        <v>22</v>
      </c>
      <c r="AD36" s="25"/>
      <c r="AE36" s="26"/>
      <c r="AF36" s="2"/>
      <c r="AG36" s="27">
        <v>32</v>
      </c>
      <c r="AH36" s="27" t="s">
        <v>336</v>
      </c>
      <c r="AI36" s="27" t="s">
        <v>337</v>
      </c>
      <c r="AJ36" s="27">
        <v>18</v>
      </c>
      <c r="AK36" s="27">
        <v>0</v>
      </c>
      <c r="AL36" s="27">
        <v>0</v>
      </c>
      <c r="AM36" s="27">
        <v>3</v>
      </c>
      <c r="AN36" s="27">
        <v>1</v>
      </c>
      <c r="AO36" s="27">
        <v>0</v>
      </c>
      <c r="AP36" s="27">
        <v>0</v>
      </c>
      <c r="AQ36" s="27">
        <v>0</v>
      </c>
      <c r="AR36" s="27"/>
      <c r="AS36" s="27">
        <v>0</v>
      </c>
      <c r="AT36" s="27">
        <f t="shared" si="0"/>
        <v>22</v>
      </c>
      <c r="AX36" s="27">
        <v>32</v>
      </c>
      <c r="AY36" s="27" t="s">
        <v>423</v>
      </c>
      <c r="AZ36" s="27" t="s">
        <v>424</v>
      </c>
      <c r="BA36" s="27">
        <v>0</v>
      </c>
      <c r="BB36" s="27">
        <v>0</v>
      </c>
      <c r="BC36" s="27">
        <v>0</v>
      </c>
      <c r="BD36" s="27">
        <v>6</v>
      </c>
      <c r="BE36" s="27">
        <v>19</v>
      </c>
      <c r="BF36" s="27">
        <v>0</v>
      </c>
      <c r="BG36" s="27"/>
      <c r="BH36" s="27"/>
      <c r="BI36" s="27"/>
      <c r="BJ36" s="27"/>
      <c r="BK36" s="27"/>
      <c r="BL36" s="27"/>
      <c r="BM36" s="27">
        <v>25</v>
      </c>
      <c r="BN36" s="2"/>
      <c r="BO36" s="2"/>
      <c r="BP36" s="27">
        <v>32</v>
      </c>
      <c r="BQ36" s="27" t="s">
        <v>423</v>
      </c>
      <c r="BR36" s="27" t="s">
        <v>424</v>
      </c>
      <c r="BS36" s="27">
        <v>22</v>
      </c>
      <c r="BT36" s="27">
        <v>0</v>
      </c>
      <c r="BU36" s="27">
        <v>1</v>
      </c>
      <c r="BV36" s="27">
        <v>0</v>
      </c>
      <c r="BW36" s="27">
        <v>0</v>
      </c>
      <c r="BX36" s="27">
        <v>0</v>
      </c>
      <c r="BY36" s="27">
        <v>0</v>
      </c>
      <c r="BZ36" s="27"/>
      <c r="CA36" s="27">
        <v>2</v>
      </c>
      <c r="CB36" s="27">
        <f t="shared" si="1"/>
        <v>25</v>
      </c>
      <c r="CF36" s="27">
        <v>32</v>
      </c>
      <c r="CG36" s="27" t="s">
        <v>331</v>
      </c>
      <c r="CH36" s="27" t="s">
        <v>332</v>
      </c>
      <c r="CI36" s="27">
        <v>3</v>
      </c>
      <c r="CJ36" s="27">
        <v>2</v>
      </c>
      <c r="CK36" s="27">
        <v>2</v>
      </c>
      <c r="CL36" s="27">
        <v>2</v>
      </c>
      <c r="CM36" s="27">
        <v>7</v>
      </c>
      <c r="CN36" s="27">
        <v>0</v>
      </c>
      <c r="CO36" s="27"/>
      <c r="CP36" s="27"/>
      <c r="CQ36" s="27"/>
      <c r="CR36" s="27"/>
      <c r="CS36" s="27"/>
      <c r="CT36" s="27"/>
      <c r="CU36" s="27">
        <v>16</v>
      </c>
      <c r="CV36" s="2"/>
      <c r="CW36" s="2"/>
      <c r="CX36" s="27">
        <v>32</v>
      </c>
      <c r="CY36" s="27" t="s">
        <v>331</v>
      </c>
      <c r="CZ36" s="27" t="s">
        <v>332</v>
      </c>
      <c r="DA36" s="27">
        <v>8</v>
      </c>
      <c r="DB36" s="27">
        <v>0</v>
      </c>
      <c r="DC36" s="27">
        <v>6</v>
      </c>
      <c r="DD36" s="27">
        <v>2</v>
      </c>
      <c r="DE36" s="27">
        <v>0</v>
      </c>
      <c r="DF36" s="27">
        <v>0</v>
      </c>
      <c r="DG36" s="27">
        <v>0</v>
      </c>
      <c r="DH36" s="27"/>
      <c r="DI36" s="27"/>
      <c r="DJ36" s="27">
        <v>16</v>
      </c>
    </row>
    <row r="37" spans="1:114">
      <c r="A37" s="1" t="s">
        <v>184</v>
      </c>
      <c r="B37" s="1" t="s">
        <v>184</v>
      </c>
      <c r="C37" s="1" t="s">
        <v>242</v>
      </c>
      <c r="D37" s="1" t="s">
        <v>137</v>
      </c>
      <c r="E37" s="1" t="s">
        <v>51</v>
      </c>
      <c r="F37" s="1" t="s">
        <v>243</v>
      </c>
      <c r="G37" s="1" t="s">
        <v>235</v>
      </c>
      <c r="H37" s="1" t="s">
        <v>51</v>
      </c>
      <c r="I37" s="1" t="s">
        <v>303</v>
      </c>
      <c r="J37" s="1" t="s">
        <v>285</v>
      </c>
      <c r="K37" s="1" t="s">
        <v>26</v>
      </c>
      <c r="L37" s="1" t="s">
        <v>288</v>
      </c>
      <c r="N37" s="23">
        <v>33</v>
      </c>
      <c r="O37" s="23" t="s">
        <v>221</v>
      </c>
      <c r="P37" s="23" t="s">
        <v>222</v>
      </c>
      <c r="Q37" s="23">
        <v>4</v>
      </c>
      <c r="R37" s="23">
        <v>3</v>
      </c>
      <c r="S37" s="23">
        <v>5</v>
      </c>
      <c r="T37" s="23">
        <v>5</v>
      </c>
      <c r="U37" s="23">
        <v>3</v>
      </c>
      <c r="V37" s="23">
        <v>2</v>
      </c>
      <c r="W37" s="23"/>
      <c r="X37" s="23"/>
      <c r="Y37" s="23"/>
      <c r="Z37" s="23"/>
      <c r="AA37" s="23"/>
      <c r="AB37" s="23"/>
      <c r="AC37" s="24">
        <v>22</v>
      </c>
      <c r="AD37" s="25"/>
      <c r="AE37" s="26"/>
      <c r="AF37" s="2"/>
      <c r="AG37" s="23">
        <v>33</v>
      </c>
      <c r="AH37" s="23" t="s">
        <v>221</v>
      </c>
      <c r="AI37" s="23" t="s">
        <v>222</v>
      </c>
      <c r="AJ37" s="23">
        <v>15</v>
      </c>
      <c r="AK37" s="23">
        <v>0</v>
      </c>
      <c r="AL37" s="23">
        <v>0</v>
      </c>
      <c r="AM37" s="23">
        <v>0</v>
      </c>
      <c r="AN37" s="23">
        <v>7</v>
      </c>
      <c r="AO37" s="23">
        <v>0</v>
      </c>
      <c r="AP37" s="23">
        <v>0</v>
      </c>
      <c r="AQ37" s="23">
        <v>0</v>
      </c>
      <c r="AR37" s="23"/>
      <c r="AS37" s="23">
        <v>0</v>
      </c>
      <c r="AT37" s="23">
        <f t="shared" si="0"/>
        <v>22</v>
      </c>
      <c r="AX37" s="23">
        <v>33</v>
      </c>
      <c r="AY37" s="23" t="s">
        <v>54</v>
      </c>
      <c r="AZ37" s="23" t="s">
        <v>385</v>
      </c>
      <c r="BA37" s="23">
        <v>1</v>
      </c>
      <c r="BB37" s="23">
        <v>2</v>
      </c>
      <c r="BC37" s="23">
        <v>3</v>
      </c>
      <c r="BD37" s="23">
        <v>6</v>
      </c>
      <c r="BE37" s="23">
        <v>5</v>
      </c>
      <c r="BF37" s="23">
        <v>6</v>
      </c>
      <c r="BG37" s="23"/>
      <c r="BH37" s="23"/>
      <c r="BI37" s="23"/>
      <c r="BJ37" s="23"/>
      <c r="BK37" s="23"/>
      <c r="BL37" s="23"/>
      <c r="BM37" s="23">
        <v>23</v>
      </c>
      <c r="BN37" s="2"/>
      <c r="BO37" s="2"/>
      <c r="BP37" s="23">
        <v>33</v>
      </c>
      <c r="BQ37" s="23" t="s">
        <v>54</v>
      </c>
      <c r="BR37" s="23" t="s">
        <v>385</v>
      </c>
      <c r="BS37" s="23">
        <v>15</v>
      </c>
      <c r="BT37" s="23">
        <v>0</v>
      </c>
      <c r="BU37" s="23">
        <v>2</v>
      </c>
      <c r="BV37" s="23">
        <v>6</v>
      </c>
      <c r="BW37" s="23">
        <v>0</v>
      </c>
      <c r="BX37" s="23">
        <v>0</v>
      </c>
      <c r="BY37" s="23">
        <v>0</v>
      </c>
      <c r="BZ37" s="23"/>
      <c r="CA37" s="23">
        <v>0</v>
      </c>
      <c r="CB37" s="23">
        <f t="shared" si="1"/>
        <v>23</v>
      </c>
      <c r="CF37" s="23">
        <v>33</v>
      </c>
      <c r="CG37" s="23" t="s">
        <v>447</v>
      </c>
      <c r="CH37" s="23" t="s">
        <v>448</v>
      </c>
      <c r="CI37" s="23">
        <v>2</v>
      </c>
      <c r="CJ37" s="23">
        <v>0</v>
      </c>
      <c r="CK37" s="23">
        <v>0</v>
      </c>
      <c r="CL37" s="23">
        <v>0</v>
      </c>
      <c r="CM37" s="23">
        <v>1</v>
      </c>
      <c r="CN37" s="23">
        <v>13</v>
      </c>
      <c r="CO37" s="23"/>
      <c r="CP37" s="23"/>
      <c r="CQ37" s="23"/>
      <c r="CR37" s="23"/>
      <c r="CS37" s="23"/>
      <c r="CT37" s="23"/>
      <c r="CU37" s="23">
        <v>16</v>
      </c>
      <c r="CV37" s="2"/>
      <c r="CW37" s="2"/>
      <c r="CX37" s="23">
        <v>33</v>
      </c>
      <c r="CY37" s="23" t="s">
        <v>447</v>
      </c>
      <c r="CZ37" s="23" t="s">
        <v>448</v>
      </c>
      <c r="DA37" s="23">
        <v>11</v>
      </c>
      <c r="DB37" s="23">
        <v>0</v>
      </c>
      <c r="DC37" s="23">
        <v>5</v>
      </c>
      <c r="DD37" s="23">
        <v>0</v>
      </c>
      <c r="DE37" s="23">
        <v>0</v>
      </c>
      <c r="DF37" s="23">
        <v>0</v>
      </c>
      <c r="DG37" s="23">
        <v>0</v>
      </c>
      <c r="DH37" s="23"/>
      <c r="DI37" s="23"/>
      <c r="DJ37" s="23">
        <v>16</v>
      </c>
    </row>
    <row r="38" spans="1:114">
      <c r="A38" s="1" t="s">
        <v>263</v>
      </c>
      <c r="B38" s="1" t="s">
        <v>263</v>
      </c>
      <c r="C38" s="1" t="s">
        <v>258</v>
      </c>
      <c r="D38" s="1" t="s">
        <v>247</v>
      </c>
      <c r="E38" s="1" t="s">
        <v>221</v>
      </c>
      <c r="F38" s="1" t="s">
        <v>285</v>
      </c>
      <c r="G38" s="1" t="s">
        <v>51</v>
      </c>
      <c r="H38" s="1" t="s">
        <v>243</v>
      </c>
      <c r="I38" s="1" t="s">
        <v>243</v>
      </c>
      <c r="J38" s="1" t="s">
        <v>282</v>
      </c>
      <c r="K38" s="1" t="s">
        <v>285</v>
      </c>
      <c r="L38" s="1" t="s">
        <v>26</v>
      </c>
      <c r="N38" s="27">
        <v>34</v>
      </c>
      <c r="O38" s="27" t="s">
        <v>251</v>
      </c>
      <c r="P38" s="27" t="s">
        <v>368</v>
      </c>
      <c r="Q38" s="27">
        <v>1</v>
      </c>
      <c r="R38" s="27">
        <v>3</v>
      </c>
      <c r="S38" s="27">
        <v>5</v>
      </c>
      <c r="T38" s="27">
        <v>3</v>
      </c>
      <c r="U38" s="27">
        <v>7</v>
      </c>
      <c r="V38" s="27">
        <v>2</v>
      </c>
      <c r="W38" s="27"/>
      <c r="X38" s="27"/>
      <c r="Y38" s="27"/>
      <c r="Z38" s="27"/>
      <c r="AA38" s="27"/>
      <c r="AB38" s="27"/>
      <c r="AC38" s="28">
        <v>21</v>
      </c>
      <c r="AD38" s="25"/>
      <c r="AE38" s="26"/>
      <c r="AF38" s="2"/>
      <c r="AG38" s="27">
        <v>34</v>
      </c>
      <c r="AH38" s="27" t="s">
        <v>251</v>
      </c>
      <c r="AI38" s="27" t="s">
        <v>368</v>
      </c>
      <c r="AJ38" s="27">
        <v>20</v>
      </c>
      <c r="AK38" s="27">
        <v>0</v>
      </c>
      <c r="AL38" s="27">
        <v>0</v>
      </c>
      <c r="AM38" s="27">
        <v>1</v>
      </c>
      <c r="AN38" s="27">
        <v>0</v>
      </c>
      <c r="AO38" s="27">
        <v>0</v>
      </c>
      <c r="AP38" s="27">
        <v>0</v>
      </c>
      <c r="AQ38" s="27">
        <v>0</v>
      </c>
      <c r="AR38" s="27"/>
      <c r="AS38" s="27">
        <v>0</v>
      </c>
      <c r="AT38" s="27">
        <f t="shared" si="0"/>
        <v>21</v>
      </c>
      <c r="AX38" s="27">
        <v>34</v>
      </c>
      <c r="AY38" s="27" t="s">
        <v>199</v>
      </c>
      <c r="AZ38" s="27" t="s">
        <v>449</v>
      </c>
      <c r="BA38" s="27">
        <v>0</v>
      </c>
      <c r="BB38" s="27">
        <v>4</v>
      </c>
      <c r="BC38" s="27">
        <v>1</v>
      </c>
      <c r="BD38" s="27">
        <v>0</v>
      </c>
      <c r="BE38" s="27">
        <v>7</v>
      </c>
      <c r="BF38" s="27">
        <v>11</v>
      </c>
      <c r="BG38" s="27"/>
      <c r="BH38" s="27"/>
      <c r="BI38" s="27"/>
      <c r="BJ38" s="27"/>
      <c r="BK38" s="27"/>
      <c r="BL38" s="27"/>
      <c r="BM38" s="27">
        <v>23</v>
      </c>
      <c r="BN38" s="2"/>
      <c r="BO38" s="2"/>
      <c r="BP38" s="27">
        <v>34</v>
      </c>
      <c r="BQ38" s="27" t="s">
        <v>199</v>
      </c>
      <c r="BR38" s="27" t="s">
        <v>449</v>
      </c>
      <c r="BS38" s="27">
        <v>21</v>
      </c>
      <c r="BT38" s="27">
        <v>0</v>
      </c>
      <c r="BU38" s="27">
        <v>1</v>
      </c>
      <c r="BV38" s="27">
        <v>1</v>
      </c>
      <c r="BW38" s="27">
        <v>0</v>
      </c>
      <c r="BX38" s="27">
        <v>0</v>
      </c>
      <c r="BY38" s="27">
        <v>0</v>
      </c>
      <c r="BZ38" s="27"/>
      <c r="CA38" s="27">
        <v>0</v>
      </c>
      <c r="CB38" s="27">
        <f t="shared" si="1"/>
        <v>23</v>
      </c>
      <c r="CF38" s="27">
        <v>34</v>
      </c>
      <c r="CG38" s="27" t="s">
        <v>204</v>
      </c>
      <c r="CH38" s="27" t="s">
        <v>388</v>
      </c>
      <c r="CI38" s="27">
        <v>1</v>
      </c>
      <c r="CJ38" s="27">
        <v>2</v>
      </c>
      <c r="CK38" s="27">
        <v>4</v>
      </c>
      <c r="CL38" s="27">
        <v>2</v>
      </c>
      <c r="CM38" s="27">
        <v>6</v>
      </c>
      <c r="CN38" s="27">
        <v>1</v>
      </c>
      <c r="CO38" s="27"/>
      <c r="CP38" s="27"/>
      <c r="CQ38" s="27"/>
      <c r="CR38" s="27"/>
      <c r="CS38" s="27"/>
      <c r="CT38" s="27"/>
      <c r="CU38" s="27">
        <v>16</v>
      </c>
      <c r="CV38" s="2"/>
      <c r="CW38" s="2"/>
      <c r="CX38" s="27">
        <v>34</v>
      </c>
      <c r="CY38" s="27" t="s">
        <v>204</v>
      </c>
      <c r="CZ38" s="27" t="s">
        <v>388</v>
      </c>
      <c r="DA38" s="27">
        <v>9</v>
      </c>
      <c r="DB38" s="27">
        <v>1</v>
      </c>
      <c r="DC38" s="27">
        <v>0</v>
      </c>
      <c r="DD38" s="27">
        <v>6</v>
      </c>
      <c r="DE38" s="27">
        <v>0</v>
      </c>
      <c r="DF38" s="27">
        <v>0</v>
      </c>
      <c r="DG38" s="27">
        <v>0</v>
      </c>
      <c r="DH38" s="27"/>
      <c r="DI38" s="27"/>
      <c r="DJ38" s="27">
        <v>16</v>
      </c>
    </row>
    <row r="39" spans="1:114">
      <c r="A39" s="1" t="s">
        <v>264</v>
      </c>
      <c r="B39" s="1" t="s">
        <v>35</v>
      </c>
      <c r="C39" s="1" t="s">
        <v>35</v>
      </c>
      <c r="D39" s="1" t="s">
        <v>51</v>
      </c>
      <c r="E39" s="1" t="s">
        <v>148</v>
      </c>
      <c r="F39" s="1" t="s">
        <v>51</v>
      </c>
      <c r="G39" s="1" t="s">
        <v>243</v>
      </c>
      <c r="H39" s="1" t="s">
        <v>235</v>
      </c>
      <c r="I39" s="1" t="s">
        <v>247</v>
      </c>
      <c r="J39" s="1" t="s">
        <v>203</v>
      </c>
      <c r="K39" s="1" t="s">
        <v>221</v>
      </c>
      <c r="L39" s="1" t="s">
        <v>236</v>
      </c>
      <c r="N39" s="23">
        <v>35</v>
      </c>
      <c r="O39" s="23" t="s">
        <v>412</v>
      </c>
      <c r="P39" s="23" t="s">
        <v>413</v>
      </c>
      <c r="Q39" s="23">
        <v>0</v>
      </c>
      <c r="R39" s="23">
        <v>0</v>
      </c>
      <c r="S39" s="23">
        <v>6</v>
      </c>
      <c r="T39" s="23">
        <v>4</v>
      </c>
      <c r="U39" s="23">
        <v>6</v>
      </c>
      <c r="V39" s="23">
        <v>5</v>
      </c>
      <c r="W39" s="23"/>
      <c r="X39" s="23"/>
      <c r="Y39" s="23"/>
      <c r="Z39" s="23"/>
      <c r="AA39" s="23"/>
      <c r="AB39" s="23"/>
      <c r="AC39" s="24">
        <v>21</v>
      </c>
      <c r="AD39" s="25"/>
      <c r="AE39" s="26"/>
      <c r="AF39" s="2"/>
      <c r="AG39" s="23">
        <v>35</v>
      </c>
      <c r="AH39" s="23" t="s">
        <v>412</v>
      </c>
      <c r="AI39" s="23" t="s">
        <v>413</v>
      </c>
      <c r="AJ39" s="23">
        <v>14</v>
      </c>
      <c r="AK39" s="23">
        <v>1</v>
      </c>
      <c r="AL39" s="23">
        <v>0</v>
      </c>
      <c r="AM39" s="23">
        <v>1</v>
      </c>
      <c r="AN39" s="23">
        <v>3</v>
      </c>
      <c r="AO39" s="23">
        <v>2</v>
      </c>
      <c r="AP39" s="23">
        <v>0</v>
      </c>
      <c r="AQ39" s="23">
        <v>0</v>
      </c>
      <c r="AR39" s="23"/>
      <c r="AS39" s="23">
        <v>0</v>
      </c>
      <c r="AT39" s="23">
        <f t="shared" si="0"/>
        <v>21</v>
      </c>
      <c r="AX39" s="23">
        <v>35</v>
      </c>
      <c r="AY39" s="23" t="s">
        <v>450</v>
      </c>
      <c r="AZ39" s="23" t="e">
        <v>#N/A</v>
      </c>
      <c r="BA39" s="23">
        <v>2</v>
      </c>
      <c r="BB39" s="23">
        <v>2</v>
      </c>
      <c r="BC39" s="23">
        <v>5</v>
      </c>
      <c r="BD39" s="23">
        <v>3</v>
      </c>
      <c r="BE39" s="23">
        <v>2</v>
      </c>
      <c r="BF39" s="23">
        <v>9</v>
      </c>
      <c r="BG39" s="23"/>
      <c r="BH39" s="23"/>
      <c r="BI39" s="23"/>
      <c r="BJ39" s="23"/>
      <c r="BK39" s="23"/>
      <c r="BL39" s="23"/>
      <c r="BM39" s="23">
        <v>23</v>
      </c>
      <c r="BN39" s="2"/>
      <c r="BO39" s="2"/>
      <c r="BP39" s="23">
        <v>35</v>
      </c>
      <c r="BQ39" s="23" t="s">
        <v>450</v>
      </c>
      <c r="BR39" s="23" t="e">
        <v>#N/A</v>
      </c>
      <c r="BS39" s="23">
        <v>21</v>
      </c>
      <c r="BT39" s="23">
        <v>0</v>
      </c>
      <c r="BU39" s="23">
        <v>1</v>
      </c>
      <c r="BV39" s="23">
        <v>0</v>
      </c>
      <c r="BW39" s="23">
        <v>0</v>
      </c>
      <c r="BX39" s="23">
        <v>0</v>
      </c>
      <c r="BY39" s="23">
        <v>0</v>
      </c>
      <c r="BZ39" s="23"/>
      <c r="CA39" s="23">
        <v>1</v>
      </c>
      <c r="CB39" s="23">
        <f t="shared" si="1"/>
        <v>23</v>
      </c>
      <c r="CF39" s="23">
        <v>35</v>
      </c>
      <c r="CG39" s="23" t="s">
        <v>338</v>
      </c>
      <c r="CH39" s="23" t="s">
        <v>339</v>
      </c>
      <c r="CI39" s="23">
        <v>1</v>
      </c>
      <c r="CJ39" s="23">
        <v>6</v>
      </c>
      <c r="CK39" s="23">
        <v>1</v>
      </c>
      <c r="CL39" s="23">
        <v>2</v>
      </c>
      <c r="CM39" s="23">
        <v>2</v>
      </c>
      <c r="CN39" s="23">
        <v>3</v>
      </c>
      <c r="CO39" s="23"/>
      <c r="CP39" s="23"/>
      <c r="CQ39" s="23"/>
      <c r="CR39" s="23"/>
      <c r="CS39" s="23"/>
      <c r="CT39" s="23"/>
      <c r="CU39" s="23">
        <v>15</v>
      </c>
      <c r="CV39" s="2"/>
      <c r="CW39" s="2"/>
      <c r="CX39" s="23">
        <v>35</v>
      </c>
      <c r="CY39" s="23" t="s">
        <v>338</v>
      </c>
      <c r="CZ39" s="23" t="s">
        <v>339</v>
      </c>
      <c r="DA39" s="23">
        <v>7</v>
      </c>
      <c r="DB39" s="23">
        <v>0</v>
      </c>
      <c r="DC39" s="23">
        <v>0</v>
      </c>
      <c r="DD39" s="23">
        <v>8</v>
      </c>
      <c r="DE39" s="23">
        <v>0</v>
      </c>
      <c r="DF39" s="23">
        <v>0</v>
      </c>
      <c r="DG39" s="23">
        <v>0</v>
      </c>
      <c r="DH39" s="23"/>
      <c r="DI39" s="23"/>
      <c r="DJ39" s="23">
        <v>15</v>
      </c>
    </row>
    <row r="40" spans="1:114">
      <c r="A40" s="1" t="s">
        <v>265</v>
      </c>
      <c r="B40" s="1" t="s">
        <v>221</v>
      </c>
      <c r="C40" s="1" t="s">
        <v>251</v>
      </c>
      <c r="D40" s="1" t="s">
        <v>44</v>
      </c>
      <c r="E40" s="1" t="s">
        <v>26</v>
      </c>
      <c r="F40" s="1" t="s">
        <v>221</v>
      </c>
      <c r="G40" s="1" t="s">
        <v>260</v>
      </c>
      <c r="H40" s="1" t="s">
        <v>203</v>
      </c>
      <c r="I40" s="1" t="s">
        <v>203</v>
      </c>
      <c r="J40" s="1" t="s">
        <v>51</v>
      </c>
      <c r="K40" s="1" t="s">
        <v>282</v>
      </c>
      <c r="L40" s="1" t="s">
        <v>282</v>
      </c>
      <c r="N40" s="27">
        <v>36</v>
      </c>
      <c r="O40" s="27" t="s">
        <v>239</v>
      </c>
      <c r="P40" s="27" t="s">
        <v>451</v>
      </c>
      <c r="Q40" s="27">
        <v>1</v>
      </c>
      <c r="R40" s="27">
        <v>1</v>
      </c>
      <c r="S40" s="27">
        <v>3</v>
      </c>
      <c r="T40" s="27">
        <v>2</v>
      </c>
      <c r="U40" s="27">
        <v>6</v>
      </c>
      <c r="V40" s="27">
        <v>8</v>
      </c>
      <c r="W40" s="27"/>
      <c r="X40" s="27"/>
      <c r="Y40" s="27"/>
      <c r="Z40" s="27"/>
      <c r="AA40" s="27"/>
      <c r="AB40" s="27"/>
      <c r="AC40" s="28">
        <v>21</v>
      </c>
      <c r="AD40" s="25"/>
      <c r="AE40" s="26"/>
      <c r="AF40" s="2"/>
      <c r="AG40" s="27">
        <v>36</v>
      </c>
      <c r="AH40" s="27" t="s">
        <v>239</v>
      </c>
      <c r="AI40" s="27" t="s">
        <v>451</v>
      </c>
      <c r="AJ40" s="27">
        <v>19</v>
      </c>
      <c r="AK40" s="27">
        <v>0</v>
      </c>
      <c r="AL40" s="27">
        <v>0</v>
      </c>
      <c r="AM40" s="27">
        <v>0</v>
      </c>
      <c r="AN40" s="27">
        <v>2</v>
      </c>
      <c r="AO40" s="27">
        <v>0</v>
      </c>
      <c r="AP40" s="27">
        <v>0</v>
      </c>
      <c r="AQ40" s="27">
        <v>0</v>
      </c>
      <c r="AR40" s="27"/>
      <c r="AS40" s="27">
        <v>0</v>
      </c>
      <c r="AT40" s="27">
        <f t="shared" si="0"/>
        <v>21</v>
      </c>
      <c r="AX40" s="27">
        <v>36</v>
      </c>
      <c r="AY40" s="27" t="s">
        <v>298</v>
      </c>
      <c r="AZ40" s="27" t="s">
        <v>299</v>
      </c>
      <c r="BA40" s="27">
        <v>8</v>
      </c>
      <c r="BB40" s="27">
        <v>1</v>
      </c>
      <c r="BC40" s="27">
        <v>0</v>
      </c>
      <c r="BD40" s="27">
        <v>5</v>
      </c>
      <c r="BE40" s="27">
        <v>4</v>
      </c>
      <c r="BF40" s="27">
        <v>4</v>
      </c>
      <c r="BG40" s="27"/>
      <c r="BH40" s="27"/>
      <c r="BI40" s="27"/>
      <c r="BJ40" s="27"/>
      <c r="BK40" s="27"/>
      <c r="BL40" s="27"/>
      <c r="BM40" s="27">
        <v>22</v>
      </c>
      <c r="BN40" s="2"/>
      <c r="BO40" s="2"/>
      <c r="BP40" s="27">
        <v>36</v>
      </c>
      <c r="BQ40" s="27" t="s">
        <v>298</v>
      </c>
      <c r="BR40" s="27" t="s">
        <v>299</v>
      </c>
      <c r="BS40" s="27">
        <v>17</v>
      </c>
      <c r="BT40" s="27">
        <v>0</v>
      </c>
      <c r="BU40" s="27">
        <v>4</v>
      </c>
      <c r="BV40" s="27">
        <v>1</v>
      </c>
      <c r="BW40" s="27">
        <v>0</v>
      </c>
      <c r="BX40" s="27">
        <v>0</v>
      </c>
      <c r="BY40" s="27">
        <v>0</v>
      </c>
      <c r="BZ40" s="27"/>
      <c r="CA40" s="27">
        <v>0</v>
      </c>
      <c r="CB40" s="27">
        <f t="shared" si="1"/>
        <v>22</v>
      </c>
      <c r="CF40" s="27">
        <v>36</v>
      </c>
      <c r="CG40" s="27" t="s">
        <v>318</v>
      </c>
      <c r="CH40" s="27" t="s">
        <v>319</v>
      </c>
      <c r="CI40" s="27">
        <v>4</v>
      </c>
      <c r="CJ40" s="27">
        <v>1</v>
      </c>
      <c r="CK40" s="27">
        <v>2</v>
      </c>
      <c r="CL40" s="27">
        <v>4</v>
      </c>
      <c r="CM40" s="27">
        <v>3</v>
      </c>
      <c r="CN40" s="27">
        <v>1</v>
      </c>
      <c r="CO40" s="27"/>
      <c r="CP40" s="27"/>
      <c r="CQ40" s="27"/>
      <c r="CR40" s="27"/>
      <c r="CS40" s="27"/>
      <c r="CT40" s="27"/>
      <c r="CU40" s="27">
        <v>15</v>
      </c>
      <c r="CV40" s="2"/>
      <c r="CW40" s="2"/>
      <c r="CX40" s="27">
        <v>36</v>
      </c>
      <c r="CY40" s="27" t="s">
        <v>318</v>
      </c>
      <c r="CZ40" s="27" t="s">
        <v>319</v>
      </c>
      <c r="DA40" s="27">
        <v>9</v>
      </c>
      <c r="DB40" s="27">
        <v>0</v>
      </c>
      <c r="DC40" s="27">
        <v>0</v>
      </c>
      <c r="DD40" s="27">
        <v>6</v>
      </c>
      <c r="DE40" s="27">
        <v>0</v>
      </c>
      <c r="DF40" s="27">
        <v>0</v>
      </c>
      <c r="DG40" s="27">
        <v>0</v>
      </c>
      <c r="DH40" s="27"/>
      <c r="DI40" s="27"/>
      <c r="DJ40" s="27">
        <v>15</v>
      </c>
    </row>
    <row r="41" spans="1:114">
      <c r="A41" s="1" t="s">
        <v>199</v>
      </c>
      <c r="B41" s="1" t="s">
        <v>253</v>
      </c>
      <c r="C41" s="1" t="s">
        <v>280</v>
      </c>
      <c r="D41" s="1" t="s">
        <v>203</v>
      </c>
      <c r="E41" s="1" t="s">
        <v>173</v>
      </c>
      <c r="F41" s="1" t="s">
        <v>247</v>
      </c>
      <c r="G41" s="1" t="s">
        <v>148</v>
      </c>
      <c r="H41" s="1" t="s">
        <v>282</v>
      </c>
      <c r="I41" s="1" t="s">
        <v>251</v>
      </c>
      <c r="J41" s="1" t="s">
        <v>251</v>
      </c>
      <c r="K41" s="1" t="s">
        <v>288</v>
      </c>
      <c r="L41" s="1" t="s">
        <v>221</v>
      </c>
      <c r="N41" s="23">
        <v>37</v>
      </c>
      <c r="O41" s="23" t="s">
        <v>298</v>
      </c>
      <c r="P41" s="23" t="s">
        <v>299</v>
      </c>
      <c r="Q41" s="23">
        <v>1</v>
      </c>
      <c r="R41" s="23">
        <v>0</v>
      </c>
      <c r="S41" s="23">
        <v>5</v>
      </c>
      <c r="T41" s="23">
        <v>7</v>
      </c>
      <c r="U41" s="23">
        <v>7</v>
      </c>
      <c r="V41" s="23">
        <v>0</v>
      </c>
      <c r="W41" s="23"/>
      <c r="X41" s="23"/>
      <c r="Y41" s="23"/>
      <c r="Z41" s="23"/>
      <c r="AA41" s="23"/>
      <c r="AB41" s="23"/>
      <c r="AC41" s="24">
        <v>20</v>
      </c>
      <c r="AD41" s="25"/>
      <c r="AE41" s="26"/>
      <c r="AF41" s="2"/>
      <c r="AG41" s="23">
        <v>37</v>
      </c>
      <c r="AH41" s="23" t="s">
        <v>298</v>
      </c>
      <c r="AI41" s="23" t="s">
        <v>299</v>
      </c>
      <c r="AJ41" s="23">
        <v>15</v>
      </c>
      <c r="AK41" s="23">
        <v>4</v>
      </c>
      <c r="AL41" s="23">
        <v>0</v>
      </c>
      <c r="AM41" s="23">
        <v>0</v>
      </c>
      <c r="AN41" s="23">
        <v>1</v>
      </c>
      <c r="AO41" s="23">
        <v>0</v>
      </c>
      <c r="AP41" s="23">
        <v>0</v>
      </c>
      <c r="AQ41" s="23">
        <v>0</v>
      </c>
      <c r="AR41" s="23"/>
      <c r="AS41" s="23">
        <v>0</v>
      </c>
      <c r="AT41" s="23">
        <f t="shared" si="0"/>
        <v>20</v>
      </c>
      <c r="AX41" s="23">
        <v>37</v>
      </c>
      <c r="AY41" s="23" t="s">
        <v>390</v>
      </c>
      <c r="AZ41" s="23" t="s">
        <v>391</v>
      </c>
      <c r="BA41" s="23">
        <v>0</v>
      </c>
      <c r="BB41" s="23">
        <v>3</v>
      </c>
      <c r="BC41" s="23">
        <v>6</v>
      </c>
      <c r="BD41" s="23">
        <v>10</v>
      </c>
      <c r="BE41" s="23">
        <v>3</v>
      </c>
      <c r="BF41" s="23">
        <v>0</v>
      </c>
      <c r="BG41" s="23"/>
      <c r="BH41" s="23"/>
      <c r="BI41" s="23"/>
      <c r="BJ41" s="23"/>
      <c r="BK41" s="23"/>
      <c r="BL41" s="23"/>
      <c r="BM41" s="23">
        <v>22</v>
      </c>
      <c r="BN41" s="2"/>
      <c r="BO41" s="2"/>
      <c r="BP41" s="23">
        <v>37</v>
      </c>
      <c r="BQ41" s="23" t="s">
        <v>390</v>
      </c>
      <c r="BR41" s="23" t="s">
        <v>391</v>
      </c>
      <c r="BS41" s="23">
        <v>7</v>
      </c>
      <c r="BT41" s="23">
        <v>0</v>
      </c>
      <c r="BU41" s="23">
        <v>15</v>
      </c>
      <c r="BV41" s="23">
        <v>0</v>
      </c>
      <c r="BW41" s="23">
        <v>0</v>
      </c>
      <c r="BX41" s="23">
        <v>0</v>
      </c>
      <c r="BY41" s="23">
        <v>0</v>
      </c>
      <c r="BZ41" s="23"/>
      <c r="CA41" s="23">
        <v>0</v>
      </c>
      <c r="CB41" s="23">
        <f t="shared" si="1"/>
        <v>22</v>
      </c>
      <c r="CF41" s="23">
        <v>37</v>
      </c>
      <c r="CG41" s="23" t="s">
        <v>83</v>
      </c>
      <c r="CH41" s="23" t="s">
        <v>392</v>
      </c>
      <c r="CI41" s="23">
        <v>2</v>
      </c>
      <c r="CJ41" s="23">
        <v>0</v>
      </c>
      <c r="CK41" s="23">
        <v>4</v>
      </c>
      <c r="CL41" s="23">
        <v>4</v>
      </c>
      <c r="CM41" s="23">
        <v>5</v>
      </c>
      <c r="CN41" s="23">
        <v>0</v>
      </c>
      <c r="CO41" s="23"/>
      <c r="CP41" s="23"/>
      <c r="CQ41" s="23"/>
      <c r="CR41" s="23"/>
      <c r="CS41" s="23"/>
      <c r="CT41" s="23"/>
      <c r="CU41" s="23">
        <v>15</v>
      </c>
      <c r="CV41" s="2"/>
      <c r="CW41" s="2"/>
      <c r="CX41" s="23">
        <v>37</v>
      </c>
      <c r="CY41" s="23" t="s">
        <v>83</v>
      </c>
      <c r="CZ41" s="23" t="s">
        <v>392</v>
      </c>
      <c r="DA41" s="23">
        <v>13</v>
      </c>
      <c r="DB41" s="23">
        <v>0</v>
      </c>
      <c r="DC41" s="23">
        <v>2</v>
      </c>
      <c r="DD41" s="23">
        <v>0</v>
      </c>
      <c r="DE41" s="23">
        <v>0</v>
      </c>
      <c r="DF41" s="23">
        <v>0</v>
      </c>
      <c r="DG41" s="23">
        <v>0</v>
      </c>
      <c r="DH41" s="23"/>
      <c r="DI41" s="23"/>
      <c r="DJ41" s="23">
        <v>15</v>
      </c>
    </row>
    <row r="42" spans="1:114">
      <c r="A42" s="1" t="s">
        <v>266</v>
      </c>
      <c r="B42" s="1" t="s">
        <v>262</v>
      </c>
      <c r="C42" s="1" t="s">
        <v>288</v>
      </c>
      <c r="D42" s="1" t="s">
        <v>288</v>
      </c>
      <c r="E42" s="1" t="s">
        <v>291</v>
      </c>
      <c r="F42" s="1" t="s">
        <v>282</v>
      </c>
      <c r="G42" s="1" t="s">
        <v>247</v>
      </c>
      <c r="H42" s="1" t="s">
        <v>251</v>
      </c>
      <c r="I42" s="1" t="s">
        <v>51</v>
      </c>
      <c r="J42" s="1" t="s">
        <v>247</v>
      </c>
      <c r="K42" s="1" t="s">
        <v>203</v>
      </c>
      <c r="L42" s="1" t="s">
        <v>285</v>
      </c>
      <c r="N42" s="27">
        <v>38</v>
      </c>
      <c r="O42" s="27" t="s">
        <v>137</v>
      </c>
      <c r="P42" s="27" t="s">
        <v>245</v>
      </c>
      <c r="Q42" s="27">
        <v>6</v>
      </c>
      <c r="R42" s="27">
        <v>2</v>
      </c>
      <c r="S42" s="27">
        <v>2</v>
      </c>
      <c r="T42" s="27">
        <v>2</v>
      </c>
      <c r="U42" s="27">
        <v>6</v>
      </c>
      <c r="V42" s="27">
        <v>2</v>
      </c>
      <c r="W42" s="27"/>
      <c r="X42" s="27"/>
      <c r="Y42" s="27"/>
      <c r="Z42" s="27"/>
      <c r="AA42" s="27"/>
      <c r="AB42" s="27"/>
      <c r="AC42" s="28">
        <v>20</v>
      </c>
      <c r="AD42" s="25"/>
      <c r="AE42" s="26"/>
      <c r="AF42" s="2"/>
      <c r="AG42" s="27">
        <v>38</v>
      </c>
      <c r="AH42" s="27" t="s">
        <v>137</v>
      </c>
      <c r="AI42" s="27" t="s">
        <v>245</v>
      </c>
      <c r="AJ42" s="27">
        <v>12</v>
      </c>
      <c r="AK42" s="27">
        <v>0</v>
      </c>
      <c r="AL42" s="27">
        <v>0</v>
      </c>
      <c r="AM42" s="27">
        <v>0</v>
      </c>
      <c r="AN42" s="27">
        <v>8</v>
      </c>
      <c r="AO42" s="27">
        <v>0</v>
      </c>
      <c r="AP42" s="27">
        <v>0</v>
      </c>
      <c r="AQ42" s="27">
        <v>0</v>
      </c>
      <c r="AR42" s="27"/>
      <c r="AS42" s="27">
        <v>0</v>
      </c>
      <c r="AT42" s="27">
        <f t="shared" si="0"/>
        <v>20</v>
      </c>
      <c r="AX42" s="27">
        <v>38</v>
      </c>
      <c r="AY42" s="27" t="s">
        <v>393</v>
      </c>
      <c r="AZ42" s="27" t="s">
        <v>394</v>
      </c>
      <c r="BA42" s="27">
        <v>1</v>
      </c>
      <c r="BB42" s="27">
        <v>2</v>
      </c>
      <c r="BC42" s="27">
        <v>5</v>
      </c>
      <c r="BD42" s="27">
        <v>5</v>
      </c>
      <c r="BE42" s="27">
        <v>5</v>
      </c>
      <c r="BF42" s="27">
        <v>3</v>
      </c>
      <c r="BG42" s="27"/>
      <c r="BH42" s="27"/>
      <c r="BI42" s="27"/>
      <c r="BJ42" s="27"/>
      <c r="BK42" s="27"/>
      <c r="BL42" s="27"/>
      <c r="BM42" s="27">
        <v>21</v>
      </c>
      <c r="BN42" s="2"/>
      <c r="BO42" s="2"/>
      <c r="BP42" s="27">
        <v>38</v>
      </c>
      <c r="BQ42" s="27" t="s">
        <v>393</v>
      </c>
      <c r="BR42" s="27" t="s">
        <v>394</v>
      </c>
      <c r="BS42" s="27">
        <v>19</v>
      </c>
      <c r="BT42" s="27">
        <v>0</v>
      </c>
      <c r="BU42" s="27">
        <v>1</v>
      </c>
      <c r="BV42" s="27">
        <v>1</v>
      </c>
      <c r="BW42" s="27">
        <v>0</v>
      </c>
      <c r="BX42" s="27">
        <v>0</v>
      </c>
      <c r="BY42" s="27">
        <v>0</v>
      </c>
      <c r="BZ42" s="27"/>
      <c r="CA42" s="27">
        <v>0</v>
      </c>
      <c r="CB42" s="27">
        <f t="shared" si="1"/>
        <v>21</v>
      </c>
      <c r="CF42" s="27">
        <v>38</v>
      </c>
      <c r="CG42" s="27" t="s">
        <v>377</v>
      </c>
      <c r="CH42" s="27" t="s">
        <v>378</v>
      </c>
      <c r="CI42" s="27">
        <v>2</v>
      </c>
      <c r="CJ42" s="27">
        <v>1</v>
      </c>
      <c r="CK42" s="27">
        <v>5</v>
      </c>
      <c r="CL42" s="27">
        <v>2</v>
      </c>
      <c r="CM42" s="27">
        <v>4</v>
      </c>
      <c r="CN42" s="27">
        <v>1</v>
      </c>
      <c r="CO42" s="27"/>
      <c r="CP42" s="27"/>
      <c r="CQ42" s="27"/>
      <c r="CR42" s="27"/>
      <c r="CS42" s="27"/>
      <c r="CT42" s="27"/>
      <c r="CU42" s="27">
        <v>15</v>
      </c>
      <c r="CV42" s="2"/>
      <c r="CW42" s="2"/>
      <c r="CX42" s="27">
        <v>38</v>
      </c>
      <c r="CY42" s="27" t="s">
        <v>377</v>
      </c>
      <c r="CZ42" s="27" t="s">
        <v>378</v>
      </c>
      <c r="DA42" s="27">
        <v>6</v>
      </c>
      <c r="DB42" s="27">
        <v>0</v>
      </c>
      <c r="DC42" s="27">
        <v>4</v>
      </c>
      <c r="DD42" s="27">
        <v>5</v>
      </c>
      <c r="DE42" s="27">
        <v>0</v>
      </c>
      <c r="DF42" s="27">
        <v>0</v>
      </c>
      <c r="DG42" s="27">
        <v>0</v>
      </c>
      <c r="DH42" s="27"/>
      <c r="DI42" s="27"/>
      <c r="DJ42" s="27">
        <v>15</v>
      </c>
    </row>
    <row r="43" spans="1:114">
      <c r="A43" s="1" t="s">
        <v>267</v>
      </c>
      <c r="B43" s="1" t="s">
        <v>279</v>
      </c>
      <c r="C43" s="1" t="s">
        <v>184</v>
      </c>
      <c r="D43" s="1" t="s">
        <v>253</v>
      </c>
      <c r="E43" s="1" t="s">
        <v>247</v>
      </c>
      <c r="F43" s="1" t="s">
        <v>173</v>
      </c>
      <c r="G43" s="1" t="s">
        <v>204</v>
      </c>
      <c r="H43" s="1" t="s">
        <v>247</v>
      </c>
      <c r="I43" s="1" t="s">
        <v>282</v>
      </c>
      <c r="J43" s="1" t="s">
        <v>221</v>
      </c>
      <c r="K43" s="1" t="s">
        <v>247</v>
      </c>
      <c r="L43" s="1" t="s">
        <v>203</v>
      </c>
      <c r="N43" s="23">
        <v>39</v>
      </c>
      <c r="O43" s="23" t="s">
        <v>138</v>
      </c>
      <c r="P43" s="23" t="s">
        <v>409</v>
      </c>
      <c r="Q43" s="23">
        <v>0</v>
      </c>
      <c r="R43" s="23">
        <v>1</v>
      </c>
      <c r="S43" s="23">
        <v>4</v>
      </c>
      <c r="T43" s="23">
        <v>5</v>
      </c>
      <c r="U43" s="23">
        <v>5</v>
      </c>
      <c r="V43" s="23">
        <v>4</v>
      </c>
      <c r="W43" s="23"/>
      <c r="X43" s="23"/>
      <c r="Y43" s="23"/>
      <c r="Z43" s="23"/>
      <c r="AA43" s="23"/>
      <c r="AB43" s="23"/>
      <c r="AC43" s="24">
        <v>19</v>
      </c>
      <c r="AD43" s="25"/>
      <c r="AE43" s="26"/>
      <c r="AF43" s="2"/>
      <c r="AG43" s="23">
        <v>39</v>
      </c>
      <c r="AH43" s="23" t="s">
        <v>138</v>
      </c>
      <c r="AI43" s="23" t="s">
        <v>409</v>
      </c>
      <c r="AJ43" s="23">
        <v>19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/>
      <c r="AS43" s="23">
        <v>0</v>
      </c>
      <c r="AT43" s="23">
        <f t="shared" si="0"/>
        <v>19</v>
      </c>
      <c r="AX43" s="23">
        <v>39</v>
      </c>
      <c r="AY43" s="23" t="s">
        <v>428</v>
      </c>
      <c r="AZ43" s="23" t="s">
        <v>429</v>
      </c>
      <c r="BA43" s="23">
        <v>2</v>
      </c>
      <c r="BB43" s="23">
        <v>3</v>
      </c>
      <c r="BC43" s="23">
        <v>2</v>
      </c>
      <c r="BD43" s="23">
        <v>3</v>
      </c>
      <c r="BE43" s="23">
        <v>8</v>
      </c>
      <c r="BF43" s="23">
        <v>3</v>
      </c>
      <c r="BG43" s="23"/>
      <c r="BH43" s="23"/>
      <c r="BI43" s="23"/>
      <c r="BJ43" s="23"/>
      <c r="BK43" s="23"/>
      <c r="BL43" s="23"/>
      <c r="BM43" s="23">
        <v>21</v>
      </c>
      <c r="BN43" s="2"/>
      <c r="BO43" s="2"/>
      <c r="BP43" s="23">
        <v>39</v>
      </c>
      <c r="BQ43" s="23" t="s">
        <v>428</v>
      </c>
      <c r="BR43" s="23" t="s">
        <v>429</v>
      </c>
      <c r="BS43" s="23">
        <v>17</v>
      </c>
      <c r="BT43" s="23">
        <v>0</v>
      </c>
      <c r="BU43" s="23">
        <v>2</v>
      </c>
      <c r="BV43" s="23">
        <v>2</v>
      </c>
      <c r="BW43" s="23">
        <v>0</v>
      </c>
      <c r="BX43" s="23">
        <v>0</v>
      </c>
      <c r="BY43" s="23">
        <v>0</v>
      </c>
      <c r="BZ43" s="23"/>
      <c r="CA43" s="23">
        <v>0</v>
      </c>
      <c r="CB43" s="23">
        <f t="shared" si="1"/>
        <v>21</v>
      </c>
      <c r="CF43" s="23">
        <v>39</v>
      </c>
      <c r="CG43" s="23" t="s">
        <v>340</v>
      </c>
      <c r="CH43" s="23" t="s">
        <v>341</v>
      </c>
      <c r="CI43" s="23">
        <v>1</v>
      </c>
      <c r="CJ43" s="23">
        <v>6</v>
      </c>
      <c r="CK43" s="23">
        <v>1</v>
      </c>
      <c r="CL43" s="23">
        <v>2</v>
      </c>
      <c r="CM43" s="23">
        <v>1</v>
      </c>
      <c r="CN43" s="23">
        <v>3</v>
      </c>
      <c r="CO43" s="23"/>
      <c r="CP43" s="23"/>
      <c r="CQ43" s="23"/>
      <c r="CR43" s="23"/>
      <c r="CS43" s="23"/>
      <c r="CT43" s="23"/>
      <c r="CU43" s="23">
        <v>14</v>
      </c>
      <c r="CV43" s="2"/>
      <c r="CW43" s="2"/>
      <c r="CX43" s="23">
        <v>39</v>
      </c>
      <c r="CY43" s="23" t="s">
        <v>340</v>
      </c>
      <c r="CZ43" s="23" t="s">
        <v>341</v>
      </c>
      <c r="DA43" s="23">
        <v>7</v>
      </c>
      <c r="DB43" s="23">
        <v>0</v>
      </c>
      <c r="DC43" s="23">
        <v>0</v>
      </c>
      <c r="DD43" s="23">
        <v>7</v>
      </c>
      <c r="DE43" s="23">
        <v>0</v>
      </c>
      <c r="DF43" s="23">
        <v>0</v>
      </c>
      <c r="DG43" s="23">
        <v>0</v>
      </c>
      <c r="DH43" s="23"/>
      <c r="DI43" s="23"/>
      <c r="DJ43" s="23">
        <v>14</v>
      </c>
    </row>
    <row r="44" spans="1:114">
      <c r="A44" s="1" t="s">
        <v>242</v>
      </c>
      <c r="B44" s="1" t="s">
        <v>280</v>
      </c>
      <c r="C44" s="1" t="s">
        <v>148</v>
      </c>
      <c r="D44" s="1" t="s">
        <v>259</v>
      </c>
      <c r="E44" s="1" t="s">
        <v>203</v>
      </c>
      <c r="F44" s="1" t="s">
        <v>148</v>
      </c>
      <c r="G44" s="1" t="s">
        <v>288</v>
      </c>
      <c r="H44" s="1" t="s">
        <v>204</v>
      </c>
      <c r="I44" s="1" t="s">
        <v>117</v>
      </c>
      <c r="J44" s="1" t="s">
        <v>303</v>
      </c>
      <c r="K44" s="1" t="s">
        <v>251</v>
      </c>
      <c r="L44" s="1" t="s">
        <v>124</v>
      </c>
      <c r="N44" s="27">
        <v>40</v>
      </c>
      <c r="O44" s="27" t="s">
        <v>291</v>
      </c>
      <c r="P44" s="27" t="s">
        <v>420</v>
      </c>
      <c r="Q44" s="27">
        <v>0</v>
      </c>
      <c r="R44" s="27">
        <v>1</v>
      </c>
      <c r="S44" s="27">
        <v>4</v>
      </c>
      <c r="T44" s="27">
        <v>4</v>
      </c>
      <c r="U44" s="27">
        <v>10</v>
      </c>
      <c r="V44" s="27">
        <v>0</v>
      </c>
      <c r="W44" s="27"/>
      <c r="X44" s="27"/>
      <c r="Y44" s="27"/>
      <c r="Z44" s="27"/>
      <c r="AA44" s="27"/>
      <c r="AB44" s="27"/>
      <c r="AC44" s="28">
        <v>19</v>
      </c>
      <c r="AD44" s="25"/>
      <c r="AE44" s="26"/>
      <c r="AF44" s="2"/>
      <c r="AG44" s="27">
        <v>40</v>
      </c>
      <c r="AH44" s="27" t="s">
        <v>291</v>
      </c>
      <c r="AI44" s="27" t="s">
        <v>420</v>
      </c>
      <c r="AJ44" s="27">
        <v>16</v>
      </c>
      <c r="AK44" s="27">
        <v>1</v>
      </c>
      <c r="AL44" s="27">
        <v>0</v>
      </c>
      <c r="AM44" s="27">
        <v>0</v>
      </c>
      <c r="AN44" s="27">
        <v>1</v>
      </c>
      <c r="AO44" s="27">
        <v>1</v>
      </c>
      <c r="AP44" s="27">
        <v>0</v>
      </c>
      <c r="AQ44" s="27">
        <v>0</v>
      </c>
      <c r="AR44" s="27"/>
      <c r="AS44" s="27">
        <v>0</v>
      </c>
      <c r="AT44" s="27">
        <f t="shared" si="0"/>
        <v>19</v>
      </c>
      <c r="AX44" s="27">
        <v>40</v>
      </c>
      <c r="AY44" s="27" t="s">
        <v>452</v>
      </c>
      <c r="AZ44" s="27" t="e">
        <v>#N/A</v>
      </c>
      <c r="BA44" s="27">
        <v>2</v>
      </c>
      <c r="BB44" s="27">
        <v>3</v>
      </c>
      <c r="BC44" s="27">
        <v>3</v>
      </c>
      <c r="BD44" s="27">
        <v>2</v>
      </c>
      <c r="BE44" s="27">
        <v>1</v>
      </c>
      <c r="BF44" s="27">
        <v>10</v>
      </c>
      <c r="BG44" s="27"/>
      <c r="BH44" s="27"/>
      <c r="BI44" s="27"/>
      <c r="BJ44" s="27"/>
      <c r="BK44" s="27"/>
      <c r="BL44" s="27"/>
      <c r="BM44" s="27">
        <v>21</v>
      </c>
      <c r="BN44" s="2"/>
      <c r="BO44" s="2"/>
      <c r="BP44" s="27">
        <v>40</v>
      </c>
      <c r="BQ44" s="27" t="s">
        <v>452</v>
      </c>
      <c r="BR44" s="27" t="e">
        <v>#N/A</v>
      </c>
      <c r="BS44" s="27">
        <v>19</v>
      </c>
      <c r="BT44" s="27">
        <v>0</v>
      </c>
      <c r="BU44" s="27">
        <v>1</v>
      </c>
      <c r="BV44" s="27">
        <v>1</v>
      </c>
      <c r="BW44" s="27">
        <v>0</v>
      </c>
      <c r="BX44" s="27">
        <v>0</v>
      </c>
      <c r="BY44" s="27">
        <v>0</v>
      </c>
      <c r="BZ44" s="27"/>
      <c r="CA44" s="27">
        <v>0</v>
      </c>
      <c r="CB44" s="27">
        <f t="shared" si="1"/>
        <v>21</v>
      </c>
      <c r="CF44" s="27">
        <v>40</v>
      </c>
      <c r="CG44" s="27" t="s">
        <v>71</v>
      </c>
      <c r="CH44" s="27" t="s">
        <v>453</v>
      </c>
      <c r="CI44" s="27">
        <v>0</v>
      </c>
      <c r="CJ44" s="27">
        <v>0</v>
      </c>
      <c r="CK44" s="27">
        <v>1</v>
      </c>
      <c r="CL44" s="27">
        <v>2</v>
      </c>
      <c r="CM44" s="27">
        <v>4</v>
      </c>
      <c r="CN44" s="27">
        <v>7</v>
      </c>
      <c r="CO44" s="27"/>
      <c r="CP44" s="27"/>
      <c r="CQ44" s="27"/>
      <c r="CR44" s="27"/>
      <c r="CS44" s="27"/>
      <c r="CT44" s="27"/>
      <c r="CU44" s="27">
        <v>14</v>
      </c>
      <c r="CV44" s="2"/>
      <c r="CW44" s="2"/>
      <c r="CX44" s="27">
        <v>40</v>
      </c>
      <c r="CY44" s="27" t="s">
        <v>71</v>
      </c>
      <c r="CZ44" s="27" t="s">
        <v>453</v>
      </c>
      <c r="DA44" s="27">
        <v>14</v>
      </c>
      <c r="DB44" s="27">
        <v>0</v>
      </c>
      <c r="DC44" s="27">
        <v>0</v>
      </c>
      <c r="DD44" s="27">
        <v>0</v>
      </c>
      <c r="DE44" s="27">
        <v>0</v>
      </c>
      <c r="DF44" s="27">
        <v>0</v>
      </c>
      <c r="DG44" s="27">
        <v>0</v>
      </c>
      <c r="DH44" s="27"/>
      <c r="DI44" s="27"/>
      <c r="DJ44" s="27">
        <v>14</v>
      </c>
    </row>
    <row r="45" spans="1:114">
      <c r="A45" s="1" t="s">
        <v>268</v>
      </c>
      <c r="B45" s="1" t="s">
        <v>281</v>
      </c>
      <c r="C45" s="1" t="s">
        <v>247</v>
      </c>
      <c r="D45" s="1" t="s">
        <v>221</v>
      </c>
      <c r="E45" s="1" t="s">
        <v>285</v>
      </c>
      <c r="F45" s="1" t="s">
        <v>203</v>
      </c>
      <c r="G45" s="1" t="s">
        <v>282</v>
      </c>
      <c r="H45" s="1" t="s">
        <v>288</v>
      </c>
      <c r="I45" s="1" t="s">
        <v>221</v>
      </c>
      <c r="J45" s="1" t="s">
        <v>252</v>
      </c>
      <c r="K45" s="1" t="s">
        <v>124</v>
      </c>
      <c r="L45" s="1" t="s">
        <v>252</v>
      </c>
      <c r="N45" s="23">
        <v>41</v>
      </c>
      <c r="O45" s="23" t="s">
        <v>268</v>
      </c>
      <c r="P45" s="23" t="s">
        <v>454</v>
      </c>
      <c r="Q45" s="23">
        <v>0</v>
      </c>
      <c r="R45" s="23">
        <v>0</v>
      </c>
      <c r="S45" s="23">
        <v>0</v>
      </c>
      <c r="T45" s="23">
        <v>0</v>
      </c>
      <c r="U45" s="23">
        <v>2</v>
      </c>
      <c r="V45" s="23">
        <v>17</v>
      </c>
      <c r="W45" s="23"/>
      <c r="X45" s="23"/>
      <c r="Y45" s="23"/>
      <c r="Z45" s="23"/>
      <c r="AA45" s="23"/>
      <c r="AB45" s="23"/>
      <c r="AC45" s="24">
        <v>19</v>
      </c>
      <c r="AD45" s="25"/>
      <c r="AE45" s="26"/>
      <c r="AF45" s="2"/>
      <c r="AG45" s="23">
        <v>41</v>
      </c>
      <c r="AH45" s="23" t="s">
        <v>268</v>
      </c>
      <c r="AI45" s="23" t="s">
        <v>454</v>
      </c>
      <c r="AJ45" s="23">
        <v>18</v>
      </c>
      <c r="AK45" s="23">
        <v>0</v>
      </c>
      <c r="AL45" s="23">
        <v>0</v>
      </c>
      <c r="AM45" s="23">
        <v>0</v>
      </c>
      <c r="AN45" s="23">
        <v>0</v>
      </c>
      <c r="AO45" s="23">
        <v>1</v>
      </c>
      <c r="AP45" s="23">
        <v>0</v>
      </c>
      <c r="AQ45" s="23">
        <v>0</v>
      </c>
      <c r="AR45" s="23"/>
      <c r="AS45" s="23">
        <v>0</v>
      </c>
      <c r="AT45" s="23">
        <f t="shared" si="0"/>
        <v>19</v>
      </c>
      <c r="AX45" s="23">
        <v>41</v>
      </c>
      <c r="AY45" s="23" t="s">
        <v>236</v>
      </c>
      <c r="AZ45" s="23" t="s">
        <v>237</v>
      </c>
      <c r="BA45" s="23">
        <v>4</v>
      </c>
      <c r="BB45" s="23">
        <v>0</v>
      </c>
      <c r="BC45" s="23">
        <v>6</v>
      </c>
      <c r="BD45" s="23">
        <v>4</v>
      </c>
      <c r="BE45" s="23">
        <v>5</v>
      </c>
      <c r="BF45" s="23">
        <v>2</v>
      </c>
      <c r="BG45" s="23"/>
      <c r="BH45" s="23"/>
      <c r="BI45" s="23"/>
      <c r="BJ45" s="23"/>
      <c r="BK45" s="23"/>
      <c r="BL45" s="23"/>
      <c r="BM45" s="23">
        <v>21</v>
      </c>
      <c r="BN45" s="2"/>
      <c r="BO45" s="2"/>
      <c r="BP45" s="23">
        <v>41</v>
      </c>
      <c r="BQ45" s="23" t="s">
        <v>236</v>
      </c>
      <c r="BR45" s="23" t="s">
        <v>237</v>
      </c>
      <c r="BS45" s="23">
        <v>18</v>
      </c>
      <c r="BT45" s="23">
        <v>0</v>
      </c>
      <c r="BU45" s="23">
        <v>2</v>
      </c>
      <c r="BV45" s="23">
        <v>1</v>
      </c>
      <c r="BW45" s="23">
        <v>0</v>
      </c>
      <c r="BX45" s="23">
        <v>0</v>
      </c>
      <c r="BY45" s="23">
        <v>0</v>
      </c>
      <c r="BZ45" s="23"/>
      <c r="CA45" s="23">
        <v>0</v>
      </c>
      <c r="CB45" s="23">
        <f t="shared" si="1"/>
        <v>21</v>
      </c>
      <c r="CF45" s="23">
        <v>41</v>
      </c>
      <c r="CG45" s="23" t="s">
        <v>200</v>
      </c>
      <c r="CH45" s="23" t="s">
        <v>455</v>
      </c>
      <c r="CI45" s="23">
        <v>0</v>
      </c>
      <c r="CJ45" s="23">
        <v>2</v>
      </c>
      <c r="CK45" s="23">
        <v>3</v>
      </c>
      <c r="CL45" s="23">
        <v>1</v>
      </c>
      <c r="CM45" s="23">
        <v>2</v>
      </c>
      <c r="CN45" s="23">
        <v>5</v>
      </c>
      <c r="CO45" s="23"/>
      <c r="CP45" s="23"/>
      <c r="CQ45" s="23"/>
      <c r="CR45" s="23"/>
      <c r="CS45" s="23"/>
      <c r="CT45" s="23"/>
      <c r="CU45" s="23">
        <v>13</v>
      </c>
      <c r="CV45" s="2"/>
      <c r="CW45" s="2"/>
      <c r="CX45" s="23">
        <v>41</v>
      </c>
      <c r="CY45" s="23" t="s">
        <v>200</v>
      </c>
      <c r="CZ45" s="23" t="s">
        <v>455</v>
      </c>
      <c r="DA45" s="23">
        <v>11</v>
      </c>
      <c r="DB45" s="23">
        <v>0</v>
      </c>
      <c r="DC45" s="23">
        <v>1</v>
      </c>
      <c r="DD45" s="23">
        <v>1</v>
      </c>
      <c r="DE45" s="23">
        <v>0</v>
      </c>
      <c r="DF45" s="23">
        <v>0</v>
      </c>
      <c r="DG45" s="23">
        <v>0</v>
      </c>
      <c r="DH45" s="23"/>
      <c r="DI45" s="23"/>
      <c r="DJ45" s="23">
        <v>13</v>
      </c>
    </row>
    <row r="46" spans="1:114">
      <c r="A46" s="1" t="s">
        <v>269</v>
      </c>
      <c r="B46" s="1" t="s">
        <v>261</v>
      </c>
      <c r="C46" s="1" t="s">
        <v>271</v>
      </c>
      <c r="D46" s="1" t="s">
        <v>257</v>
      </c>
      <c r="E46" s="1" t="s">
        <v>242</v>
      </c>
      <c r="F46" s="1" t="s">
        <v>291</v>
      </c>
      <c r="G46" s="1" t="s">
        <v>203</v>
      </c>
      <c r="H46" s="1" t="s">
        <v>260</v>
      </c>
      <c r="I46" s="1" t="s">
        <v>235</v>
      </c>
      <c r="J46" s="1" t="s">
        <v>117</v>
      </c>
      <c r="K46" s="1" t="s">
        <v>252</v>
      </c>
      <c r="L46" s="1" t="s">
        <v>247</v>
      </c>
      <c r="N46" s="27">
        <v>42</v>
      </c>
      <c r="O46" s="27" t="s">
        <v>325</v>
      </c>
      <c r="P46" s="27" t="s">
        <v>326</v>
      </c>
      <c r="Q46" s="27">
        <v>4</v>
      </c>
      <c r="R46" s="27">
        <v>5</v>
      </c>
      <c r="S46" s="27">
        <v>1</v>
      </c>
      <c r="T46" s="27">
        <v>2</v>
      </c>
      <c r="U46" s="27">
        <v>5</v>
      </c>
      <c r="V46" s="27">
        <v>2</v>
      </c>
      <c r="W46" s="27"/>
      <c r="X46" s="27"/>
      <c r="Y46" s="27"/>
      <c r="Z46" s="27"/>
      <c r="AA46" s="27"/>
      <c r="AB46" s="27"/>
      <c r="AC46" s="28">
        <v>19</v>
      </c>
      <c r="AD46" s="25"/>
      <c r="AE46" s="26"/>
      <c r="AF46" s="2"/>
      <c r="AG46" s="27">
        <v>42</v>
      </c>
      <c r="AH46" s="27" t="s">
        <v>325</v>
      </c>
      <c r="AI46" s="27" t="s">
        <v>326</v>
      </c>
      <c r="AJ46" s="27">
        <v>10</v>
      </c>
      <c r="AK46" s="27">
        <v>0</v>
      </c>
      <c r="AL46" s="27">
        <v>0</v>
      </c>
      <c r="AM46" s="27">
        <v>0</v>
      </c>
      <c r="AN46" s="27">
        <v>9</v>
      </c>
      <c r="AO46" s="27">
        <v>0</v>
      </c>
      <c r="AP46" s="27">
        <v>0</v>
      </c>
      <c r="AQ46" s="27">
        <v>0</v>
      </c>
      <c r="AR46" s="27"/>
      <c r="AS46" s="27">
        <v>0</v>
      </c>
      <c r="AT46" s="27">
        <f t="shared" si="0"/>
        <v>19</v>
      </c>
      <c r="AX46" s="27">
        <v>42</v>
      </c>
      <c r="AY46" s="27" t="s">
        <v>251</v>
      </c>
      <c r="AZ46" s="27" t="s">
        <v>368</v>
      </c>
      <c r="BA46" s="27">
        <v>2</v>
      </c>
      <c r="BB46" s="27">
        <v>3</v>
      </c>
      <c r="BC46" s="27">
        <v>6</v>
      </c>
      <c r="BD46" s="27">
        <v>2</v>
      </c>
      <c r="BE46" s="27">
        <v>7</v>
      </c>
      <c r="BF46" s="27">
        <v>1</v>
      </c>
      <c r="BG46" s="27"/>
      <c r="BH46" s="27"/>
      <c r="BI46" s="27"/>
      <c r="BJ46" s="27"/>
      <c r="BK46" s="27"/>
      <c r="BL46" s="27"/>
      <c r="BM46" s="27">
        <v>21</v>
      </c>
      <c r="BN46" s="2"/>
      <c r="BO46" s="2"/>
      <c r="BP46" s="27">
        <v>42</v>
      </c>
      <c r="BQ46" s="27" t="s">
        <v>251</v>
      </c>
      <c r="BR46" s="27" t="s">
        <v>368</v>
      </c>
      <c r="BS46" s="27">
        <v>20</v>
      </c>
      <c r="BT46" s="27">
        <v>0</v>
      </c>
      <c r="BU46" s="27">
        <v>1</v>
      </c>
      <c r="BV46" s="27">
        <v>0</v>
      </c>
      <c r="BW46" s="27">
        <v>0</v>
      </c>
      <c r="BX46" s="27">
        <v>0</v>
      </c>
      <c r="BY46" s="27">
        <v>0</v>
      </c>
      <c r="BZ46" s="27"/>
      <c r="CA46" s="27">
        <v>0</v>
      </c>
      <c r="CB46" s="27">
        <f t="shared" si="1"/>
        <v>21</v>
      </c>
      <c r="CF46" s="27">
        <v>42</v>
      </c>
      <c r="CG46" s="27" t="s">
        <v>344</v>
      </c>
      <c r="CH46" s="27" t="s">
        <v>345</v>
      </c>
      <c r="CI46" s="27">
        <v>1</v>
      </c>
      <c r="CJ46" s="27">
        <v>5</v>
      </c>
      <c r="CK46" s="27">
        <v>4</v>
      </c>
      <c r="CL46" s="27">
        <v>1</v>
      </c>
      <c r="CM46" s="27">
        <v>0</v>
      </c>
      <c r="CN46" s="27">
        <v>2</v>
      </c>
      <c r="CO46" s="27"/>
      <c r="CP46" s="27"/>
      <c r="CQ46" s="27"/>
      <c r="CR46" s="27"/>
      <c r="CS46" s="27"/>
      <c r="CT46" s="27"/>
      <c r="CU46" s="27">
        <v>13</v>
      </c>
      <c r="CV46" s="2"/>
      <c r="CW46" s="2"/>
      <c r="CX46" s="27">
        <v>42</v>
      </c>
      <c r="CY46" s="27" t="s">
        <v>344</v>
      </c>
      <c r="CZ46" s="27" t="s">
        <v>345</v>
      </c>
      <c r="DA46" s="27">
        <v>10</v>
      </c>
      <c r="DB46" s="27">
        <v>0</v>
      </c>
      <c r="DC46" s="27">
        <v>2</v>
      </c>
      <c r="DD46" s="27">
        <v>1</v>
      </c>
      <c r="DE46" s="27">
        <v>0</v>
      </c>
      <c r="DF46" s="27">
        <v>0</v>
      </c>
      <c r="DG46" s="27">
        <v>0</v>
      </c>
      <c r="DH46" s="27"/>
      <c r="DI46" s="27"/>
      <c r="DJ46" s="27">
        <v>13</v>
      </c>
    </row>
    <row r="47" spans="1:114">
      <c r="A47" s="1" t="s">
        <v>251</v>
      </c>
      <c r="B47" s="1" t="s">
        <v>282</v>
      </c>
      <c r="C47" s="1" t="s">
        <v>285</v>
      </c>
      <c r="D47" s="1" t="s">
        <v>251</v>
      </c>
      <c r="E47" s="1" t="s">
        <v>274</v>
      </c>
      <c r="F47" s="1" t="s">
        <v>242</v>
      </c>
      <c r="G47" s="1" t="s">
        <v>291</v>
      </c>
      <c r="H47" s="1" t="s">
        <v>148</v>
      </c>
      <c r="I47" s="1" t="s">
        <v>204</v>
      </c>
      <c r="J47" s="1" t="s">
        <v>204</v>
      </c>
      <c r="K47" s="1" t="s">
        <v>303</v>
      </c>
      <c r="L47" s="1" t="s">
        <v>251</v>
      </c>
      <c r="N47" s="23">
        <v>43</v>
      </c>
      <c r="O47" s="23" t="s">
        <v>81</v>
      </c>
      <c r="P47" s="23" t="s">
        <v>389</v>
      </c>
      <c r="Q47" s="23">
        <v>1</v>
      </c>
      <c r="R47" s="23">
        <v>2</v>
      </c>
      <c r="S47" s="23">
        <v>6</v>
      </c>
      <c r="T47" s="23">
        <v>3</v>
      </c>
      <c r="U47" s="23">
        <v>4</v>
      </c>
      <c r="V47" s="23">
        <v>3</v>
      </c>
      <c r="W47" s="23"/>
      <c r="X47" s="23"/>
      <c r="Y47" s="23"/>
      <c r="Z47" s="23"/>
      <c r="AA47" s="23"/>
      <c r="AB47" s="23"/>
      <c r="AC47" s="24">
        <v>19</v>
      </c>
      <c r="AD47" s="25"/>
      <c r="AE47" s="26"/>
      <c r="AF47" s="2"/>
      <c r="AG47" s="23">
        <v>43</v>
      </c>
      <c r="AH47" s="23" t="s">
        <v>81</v>
      </c>
      <c r="AI47" s="23" t="s">
        <v>389</v>
      </c>
      <c r="AJ47" s="23">
        <v>13</v>
      </c>
      <c r="AK47" s="23">
        <v>1</v>
      </c>
      <c r="AL47" s="23">
        <v>0</v>
      </c>
      <c r="AM47" s="23">
        <v>0</v>
      </c>
      <c r="AN47" s="23">
        <v>5</v>
      </c>
      <c r="AO47" s="23">
        <v>0</v>
      </c>
      <c r="AP47" s="23">
        <v>0</v>
      </c>
      <c r="AQ47" s="23">
        <v>0</v>
      </c>
      <c r="AR47" s="23"/>
      <c r="AS47" s="23">
        <v>0</v>
      </c>
      <c r="AT47" s="23">
        <f t="shared" si="0"/>
        <v>19</v>
      </c>
      <c r="AX47" s="23">
        <v>43</v>
      </c>
      <c r="AY47" s="23" t="s">
        <v>406</v>
      </c>
      <c r="AZ47" s="23" t="s">
        <v>407</v>
      </c>
      <c r="BA47" s="23">
        <v>0</v>
      </c>
      <c r="BB47" s="23">
        <v>2</v>
      </c>
      <c r="BC47" s="23">
        <v>1</v>
      </c>
      <c r="BD47" s="23">
        <v>10</v>
      </c>
      <c r="BE47" s="23">
        <v>7</v>
      </c>
      <c r="BF47" s="23">
        <v>0</v>
      </c>
      <c r="BG47" s="23"/>
      <c r="BH47" s="23"/>
      <c r="BI47" s="23"/>
      <c r="BJ47" s="23"/>
      <c r="BK47" s="23"/>
      <c r="BL47" s="23"/>
      <c r="BM47" s="23">
        <v>20</v>
      </c>
      <c r="BN47" s="2"/>
      <c r="BO47" s="2"/>
      <c r="BP47" s="23">
        <v>43</v>
      </c>
      <c r="BQ47" s="23" t="s">
        <v>406</v>
      </c>
      <c r="BR47" s="23" t="s">
        <v>407</v>
      </c>
      <c r="BS47" s="23">
        <v>5</v>
      </c>
      <c r="BT47" s="23">
        <v>0</v>
      </c>
      <c r="BU47" s="23">
        <v>15</v>
      </c>
      <c r="BV47" s="23">
        <v>0</v>
      </c>
      <c r="BW47" s="23">
        <v>0</v>
      </c>
      <c r="BX47" s="23">
        <v>0</v>
      </c>
      <c r="BY47" s="23">
        <v>0</v>
      </c>
      <c r="BZ47" s="23"/>
      <c r="CA47" s="23">
        <v>0</v>
      </c>
      <c r="CB47" s="23">
        <f t="shared" si="1"/>
        <v>20</v>
      </c>
      <c r="CF47" s="23">
        <v>43</v>
      </c>
      <c r="CG47" s="23" t="s">
        <v>425</v>
      </c>
      <c r="CH47" s="23" t="s">
        <v>426</v>
      </c>
      <c r="CI47" s="23">
        <v>3</v>
      </c>
      <c r="CJ47" s="23">
        <v>1</v>
      </c>
      <c r="CK47" s="23">
        <v>0</v>
      </c>
      <c r="CL47" s="23">
        <v>3</v>
      </c>
      <c r="CM47" s="23">
        <v>6</v>
      </c>
      <c r="CN47" s="23">
        <v>0</v>
      </c>
      <c r="CO47" s="23"/>
      <c r="CP47" s="23"/>
      <c r="CQ47" s="23"/>
      <c r="CR47" s="23"/>
      <c r="CS47" s="23"/>
      <c r="CT47" s="23"/>
      <c r="CU47" s="23">
        <v>13</v>
      </c>
      <c r="CV47" s="2"/>
      <c r="CW47" s="2"/>
      <c r="CX47" s="23">
        <v>43</v>
      </c>
      <c r="CY47" s="23" t="s">
        <v>425</v>
      </c>
      <c r="CZ47" s="23" t="s">
        <v>426</v>
      </c>
      <c r="DA47" s="23">
        <v>11</v>
      </c>
      <c r="DB47" s="23">
        <v>0</v>
      </c>
      <c r="DC47" s="23">
        <v>0</v>
      </c>
      <c r="DD47" s="23">
        <v>2</v>
      </c>
      <c r="DE47" s="23">
        <v>0</v>
      </c>
      <c r="DF47" s="23">
        <v>0</v>
      </c>
      <c r="DG47" s="23">
        <v>0</v>
      </c>
      <c r="DH47" s="23"/>
      <c r="DI47" s="23"/>
      <c r="DJ47" s="23">
        <v>13</v>
      </c>
    </row>
    <row r="48" spans="1:114">
      <c r="A48" s="1" t="s">
        <v>270</v>
      </c>
      <c r="B48" s="1" t="s">
        <v>247</v>
      </c>
      <c r="C48" s="1" t="s">
        <v>279</v>
      </c>
      <c r="D48" s="1" t="s">
        <v>258</v>
      </c>
      <c r="E48" s="1" t="s">
        <v>251</v>
      </c>
      <c r="F48" s="1" t="s">
        <v>288</v>
      </c>
      <c r="G48" s="1" t="s">
        <v>242</v>
      </c>
      <c r="H48" s="1" t="s">
        <v>291</v>
      </c>
      <c r="I48" s="1" t="s">
        <v>252</v>
      </c>
      <c r="J48" s="1" t="s">
        <v>240</v>
      </c>
      <c r="K48" s="1" t="s">
        <v>204</v>
      </c>
      <c r="L48" s="1" t="s">
        <v>204</v>
      </c>
      <c r="N48" s="27">
        <v>44</v>
      </c>
      <c r="O48" s="27" t="s">
        <v>243</v>
      </c>
      <c r="P48" s="27" t="s">
        <v>292</v>
      </c>
      <c r="Q48" s="27">
        <v>2</v>
      </c>
      <c r="R48" s="27">
        <v>2</v>
      </c>
      <c r="S48" s="27">
        <v>5</v>
      </c>
      <c r="T48" s="27">
        <v>7</v>
      </c>
      <c r="U48" s="27">
        <v>2</v>
      </c>
      <c r="V48" s="27">
        <v>0</v>
      </c>
      <c r="W48" s="27"/>
      <c r="X48" s="27"/>
      <c r="Y48" s="27"/>
      <c r="Z48" s="27"/>
      <c r="AA48" s="27"/>
      <c r="AB48" s="27"/>
      <c r="AC48" s="28">
        <v>18</v>
      </c>
      <c r="AD48" s="25"/>
      <c r="AE48" s="26"/>
      <c r="AF48" s="2"/>
      <c r="AG48" s="27">
        <v>44</v>
      </c>
      <c r="AH48" s="27" t="s">
        <v>243</v>
      </c>
      <c r="AI48" s="27" t="s">
        <v>292</v>
      </c>
      <c r="AJ48" s="27">
        <v>9</v>
      </c>
      <c r="AK48" s="27">
        <v>0</v>
      </c>
      <c r="AL48" s="27">
        <v>0</v>
      </c>
      <c r="AM48" s="27">
        <v>0</v>
      </c>
      <c r="AN48" s="27">
        <v>9</v>
      </c>
      <c r="AO48" s="27">
        <v>0</v>
      </c>
      <c r="AP48" s="27">
        <v>0</v>
      </c>
      <c r="AQ48" s="27">
        <v>0</v>
      </c>
      <c r="AR48" s="27"/>
      <c r="AS48" s="27">
        <v>0</v>
      </c>
      <c r="AT48" s="27">
        <f t="shared" si="0"/>
        <v>18</v>
      </c>
      <c r="AX48" s="27">
        <v>44</v>
      </c>
      <c r="AY48" s="27" t="s">
        <v>67</v>
      </c>
      <c r="AZ48" s="27" t="s">
        <v>456</v>
      </c>
      <c r="BA48" s="27">
        <v>3</v>
      </c>
      <c r="BB48" s="27">
        <v>4</v>
      </c>
      <c r="BC48" s="27">
        <v>3</v>
      </c>
      <c r="BD48" s="27">
        <v>3</v>
      </c>
      <c r="BE48" s="27">
        <v>1</v>
      </c>
      <c r="BF48" s="27">
        <v>6</v>
      </c>
      <c r="BG48" s="27"/>
      <c r="BH48" s="27"/>
      <c r="BI48" s="27"/>
      <c r="BJ48" s="27"/>
      <c r="BK48" s="27"/>
      <c r="BL48" s="27"/>
      <c r="BM48" s="27">
        <v>20</v>
      </c>
      <c r="BN48" s="2"/>
      <c r="BO48" s="2"/>
      <c r="BP48" s="27">
        <v>44</v>
      </c>
      <c r="BQ48" s="27" t="s">
        <v>67</v>
      </c>
      <c r="BR48" s="27" t="s">
        <v>456</v>
      </c>
      <c r="BS48" s="27">
        <v>19</v>
      </c>
      <c r="BT48" s="27">
        <v>0</v>
      </c>
      <c r="BU48" s="27">
        <v>0</v>
      </c>
      <c r="BV48" s="27">
        <v>1</v>
      </c>
      <c r="BW48" s="27">
        <v>0</v>
      </c>
      <c r="BX48" s="27">
        <v>0</v>
      </c>
      <c r="BY48" s="27">
        <v>0</v>
      </c>
      <c r="BZ48" s="27"/>
      <c r="CA48" s="27">
        <v>0</v>
      </c>
      <c r="CB48" s="27">
        <f t="shared" si="1"/>
        <v>20</v>
      </c>
      <c r="CF48" s="27">
        <v>44</v>
      </c>
      <c r="CG48" s="27" t="s">
        <v>457</v>
      </c>
      <c r="CH48" s="27" t="s">
        <v>458</v>
      </c>
      <c r="CI48" s="27">
        <v>1</v>
      </c>
      <c r="CJ48" s="27">
        <v>1</v>
      </c>
      <c r="CK48" s="27">
        <v>1</v>
      </c>
      <c r="CL48" s="27">
        <v>2</v>
      </c>
      <c r="CM48" s="27">
        <v>2</v>
      </c>
      <c r="CN48" s="27">
        <v>6</v>
      </c>
      <c r="CO48" s="27"/>
      <c r="CP48" s="27"/>
      <c r="CQ48" s="27"/>
      <c r="CR48" s="27"/>
      <c r="CS48" s="27"/>
      <c r="CT48" s="27"/>
      <c r="CU48" s="27">
        <v>13</v>
      </c>
      <c r="CV48" s="2"/>
      <c r="CW48" s="2"/>
      <c r="CX48" s="27">
        <v>44</v>
      </c>
      <c r="CY48" s="27" t="s">
        <v>457</v>
      </c>
      <c r="CZ48" s="27" t="s">
        <v>458</v>
      </c>
      <c r="DA48" s="27">
        <v>6</v>
      </c>
      <c r="DB48" s="27">
        <v>0</v>
      </c>
      <c r="DC48" s="27">
        <v>7</v>
      </c>
      <c r="DD48" s="27">
        <v>0</v>
      </c>
      <c r="DE48" s="27">
        <v>0</v>
      </c>
      <c r="DF48" s="27">
        <v>0</v>
      </c>
      <c r="DG48" s="27">
        <v>0</v>
      </c>
      <c r="DH48" s="27"/>
      <c r="DI48" s="27"/>
      <c r="DJ48" s="27">
        <v>13</v>
      </c>
    </row>
    <row r="49" spans="1:114">
      <c r="N49" s="23">
        <v>45</v>
      </c>
      <c r="O49" s="23" t="s">
        <v>124</v>
      </c>
      <c r="P49" s="23" t="s">
        <v>304</v>
      </c>
      <c r="Q49" s="23">
        <v>3</v>
      </c>
      <c r="R49" s="23">
        <v>3</v>
      </c>
      <c r="S49" s="23">
        <v>3</v>
      </c>
      <c r="T49" s="23">
        <v>5</v>
      </c>
      <c r="U49" s="23">
        <v>2</v>
      </c>
      <c r="V49" s="23">
        <v>2</v>
      </c>
      <c r="W49" s="23"/>
      <c r="X49" s="23"/>
      <c r="Y49" s="23"/>
      <c r="Z49" s="23"/>
      <c r="AA49" s="23"/>
      <c r="AB49" s="23"/>
      <c r="AC49" s="24">
        <v>18</v>
      </c>
      <c r="AD49" s="25"/>
      <c r="AE49" s="26"/>
      <c r="AF49" s="2"/>
      <c r="AG49" s="23">
        <v>45</v>
      </c>
      <c r="AH49" s="23" t="s">
        <v>124</v>
      </c>
      <c r="AI49" s="23" t="s">
        <v>304</v>
      </c>
      <c r="AJ49" s="23">
        <v>7</v>
      </c>
      <c r="AK49" s="23">
        <v>1</v>
      </c>
      <c r="AL49" s="23">
        <v>0</v>
      </c>
      <c r="AM49" s="23">
        <v>3</v>
      </c>
      <c r="AN49" s="23">
        <v>4</v>
      </c>
      <c r="AO49" s="23">
        <v>3</v>
      </c>
      <c r="AP49" s="23">
        <v>0</v>
      </c>
      <c r="AQ49" s="23">
        <v>0</v>
      </c>
      <c r="AR49" s="23"/>
      <c r="AS49" s="23">
        <v>0</v>
      </c>
      <c r="AT49" s="23">
        <f t="shared" si="0"/>
        <v>18</v>
      </c>
      <c r="AX49" s="23">
        <v>45</v>
      </c>
      <c r="AY49" s="23" t="s">
        <v>459</v>
      </c>
      <c r="AZ49" s="23" t="s">
        <v>460</v>
      </c>
      <c r="BA49" s="23">
        <v>1</v>
      </c>
      <c r="BB49" s="23">
        <v>2</v>
      </c>
      <c r="BC49" s="23">
        <v>2</v>
      </c>
      <c r="BD49" s="23">
        <v>0</v>
      </c>
      <c r="BE49" s="23">
        <v>6</v>
      </c>
      <c r="BF49" s="23">
        <v>8</v>
      </c>
      <c r="BG49" s="23"/>
      <c r="BH49" s="23"/>
      <c r="BI49" s="23"/>
      <c r="BJ49" s="23"/>
      <c r="BK49" s="23"/>
      <c r="BL49" s="23"/>
      <c r="BM49" s="23">
        <v>19</v>
      </c>
      <c r="BN49" s="2"/>
      <c r="BO49" s="2"/>
      <c r="BP49" s="23">
        <v>45</v>
      </c>
      <c r="BQ49" s="23" t="s">
        <v>459</v>
      </c>
      <c r="BR49" s="23" t="s">
        <v>460</v>
      </c>
      <c r="BS49" s="23">
        <v>16</v>
      </c>
      <c r="BT49" s="23">
        <v>0</v>
      </c>
      <c r="BU49" s="23">
        <v>2</v>
      </c>
      <c r="BV49" s="23">
        <v>1</v>
      </c>
      <c r="BW49" s="23">
        <v>0</v>
      </c>
      <c r="BX49" s="23">
        <v>0</v>
      </c>
      <c r="BY49" s="23">
        <v>0</v>
      </c>
      <c r="BZ49" s="23"/>
      <c r="CA49" s="23">
        <v>0</v>
      </c>
      <c r="CB49" s="23">
        <f t="shared" si="1"/>
        <v>19</v>
      </c>
      <c r="CF49" s="23">
        <v>45</v>
      </c>
      <c r="CG49" s="23" t="s">
        <v>279</v>
      </c>
      <c r="CH49" s="23" t="s">
        <v>408</v>
      </c>
      <c r="CI49" s="23">
        <v>0</v>
      </c>
      <c r="CJ49" s="23">
        <v>2</v>
      </c>
      <c r="CK49" s="23">
        <v>3</v>
      </c>
      <c r="CL49" s="23">
        <v>3</v>
      </c>
      <c r="CM49" s="23">
        <v>5</v>
      </c>
      <c r="CN49" s="23">
        <v>0</v>
      </c>
      <c r="CO49" s="23"/>
      <c r="CP49" s="23"/>
      <c r="CQ49" s="23"/>
      <c r="CR49" s="23"/>
      <c r="CS49" s="23"/>
      <c r="CT49" s="23"/>
      <c r="CU49" s="23">
        <v>13</v>
      </c>
      <c r="CV49" s="2"/>
      <c r="CW49" s="2"/>
      <c r="CX49" s="23">
        <v>45</v>
      </c>
      <c r="CY49" s="23" t="s">
        <v>279</v>
      </c>
      <c r="CZ49" s="23" t="s">
        <v>408</v>
      </c>
      <c r="DA49" s="23">
        <v>13</v>
      </c>
      <c r="DB49" s="23">
        <v>0</v>
      </c>
      <c r="DC49" s="23">
        <v>0</v>
      </c>
      <c r="DD49" s="23">
        <v>0</v>
      </c>
      <c r="DE49" s="23">
        <v>0</v>
      </c>
      <c r="DF49" s="23">
        <v>0</v>
      </c>
      <c r="DG49" s="23">
        <v>0</v>
      </c>
      <c r="DH49" s="23"/>
      <c r="DI49" s="23"/>
      <c r="DJ49" s="23">
        <v>13</v>
      </c>
    </row>
    <row r="50" spans="1:114">
      <c r="N50" s="27">
        <v>46</v>
      </c>
      <c r="O50" s="27" t="s">
        <v>133</v>
      </c>
      <c r="P50" s="27" t="s">
        <v>295</v>
      </c>
      <c r="Q50" s="27">
        <v>4</v>
      </c>
      <c r="R50" s="27">
        <v>6</v>
      </c>
      <c r="S50" s="27">
        <v>0</v>
      </c>
      <c r="T50" s="27">
        <v>3</v>
      </c>
      <c r="U50" s="27">
        <v>4</v>
      </c>
      <c r="V50" s="27">
        <v>1</v>
      </c>
      <c r="W50" s="27"/>
      <c r="X50" s="27"/>
      <c r="Y50" s="27"/>
      <c r="Z50" s="27"/>
      <c r="AA50" s="27"/>
      <c r="AB50" s="27"/>
      <c r="AC50" s="28">
        <v>18</v>
      </c>
      <c r="AD50" s="25"/>
      <c r="AE50" s="26"/>
      <c r="AF50" s="2"/>
      <c r="AG50" s="27">
        <v>46</v>
      </c>
      <c r="AH50" s="27" t="s">
        <v>133</v>
      </c>
      <c r="AI50" s="27" t="s">
        <v>295</v>
      </c>
      <c r="AJ50" s="27">
        <v>18</v>
      </c>
      <c r="AK50" s="27">
        <v>0</v>
      </c>
      <c r="AL50" s="27">
        <v>0</v>
      </c>
      <c r="AM50" s="27">
        <v>0</v>
      </c>
      <c r="AN50" s="27">
        <v>0</v>
      </c>
      <c r="AO50" s="27">
        <v>0</v>
      </c>
      <c r="AP50" s="27">
        <v>0</v>
      </c>
      <c r="AQ50" s="27">
        <v>0</v>
      </c>
      <c r="AR50" s="27"/>
      <c r="AS50" s="27">
        <v>0</v>
      </c>
      <c r="AT50" s="27">
        <f t="shared" si="0"/>
        <v>18</v>
      </c>
      <c r="AX50" s="27">
        <v>46</v>
      </c>
      <c r="AY50" s="27" t="s">
        <v>184</v>
      </c>
      <c r="AZ50" s="27" t="s">
        <v>189</v>
      </c>
      <c r="BA50" s="27">
        <v>4</v>
      </c>
      <c r="BB50" s="27">
        <v>3</v>
      </c>
      <c r="BC50" s="27">
        <v>1</v>
      </c>
      <c r="BD50" s="27">
        <v>5</v>
      </c>
      <c r="BE50" s="27">
        <v>6</v>
      </c>
      <c r="BF50" s="27">
        <v>0</v>
      </c>
      <c r="BG50" s="27"/>
      <c r="BH50" s="27"/>
      <c r="BI50" s="27"/>
      <c r="BJ50" s="27"/>
      <c r="BK50" s="27"/>
      <c r="BL50" s="27"/>
      <c r="BM50" s="27">
        <v>19</v>
      </c>
      <c r="BN50" s="2"/>
      <c r="BO50" s="2"/>
      <c r="BP50" s="27">
        <v>46</v>
      </c>
      <c r="BQ50" s="27" t="s">
        <v>184</v>
      </c>
      <c r="BR50" s="27" t="s">
        <v>189</v>
      </c>
      <c r="BS50" s="27">
        <v>14</v>
      </c>
      <c r="BT50" s="27">
        <v>0</v>
      </c>
      <c r="BU50" s="27">
        <v>0</v>
      </c>
      <c r="BV50" s="27">
        <v>5</v>
      </c>
      <c r="BW50" s="27">
        <v>0</v>
      </c>
      <c r="BX50" s="27">
        <v>0</v>
      </c>
      <c r="BY50" s="27">
        <v>0</v>
      </c>
      <c r="BZ50" s="27"/>
      <c r="CA50" s="27">
        <v>0</v>
      </c>
      <c r="CB50" s="27">
        <f t="shared" si="1"/>
        <v>19</v>
      </c>
      <c r="CF50" s="27">
        <v>46</v>
      </c>
      <c r="CG50" s="27" t="s">
        <v>435</v>
      </c>
      <c r="CH50" s="27" t="s">
        <v>436</v>
      </c>
      <c r="CI50" s="27">
        <v>0</v>
      </c>
      <c r="CJ50" s="27">
        <v>3</v>
      </c>
      <c r="CK50" s="27">
        <v>1</v>
      </c>
      <c r="CL50" s="27">
        <v>1</v>
      </c>
      <c r="CM50" s="27">
        <v>7</v>
      </c>
      <c r="CN50" s="27">
        <v>1</v>
      </c>
      <c r="CO50" s="27"/>
      <c r="CP50" s="27"/>
      <c r="CQ50" s="27"/>
      <c r="CR50" s="27"/>
      <c r="CS50" s="27"/>
      <c r="CT50" s="27"/>
      <c r="CU50" s="27">
        <v>13</v>
      </c>
      <c r="CV50" s="2"/>
      <c r="CW50" s="2"/>
      <c r="CX50" s="27">
        <v>46</v>
      </c>
      <c r="CY50" s="27" t="s">
        <v>435</v>
      </c>
      <c r="CZ50" s="27" t="s">
        <v>436</v>
      </c>
      <c r="DA50" s="27">
        <v>10</v>
      </c>
      <c r="DB50" s="27">
        <v>0</v>
      </c>
      <c r="DC50" s="27">
        <v>0</v>
      </c>
      <c r="DD50" s="27">
        <v>3</v>
      </c>
      <c r="DE50" s="27">
        <v>0</v>
      </c>
      <c r="DF50" s="27">
        <v>0</v>
      </c>
      <c r="DG50" s="27">
        <v>0</v>
      </c>
      <c r="DH50" s="27"/>
      <c r="DI50" s="27"/>
      <c r="DJ50" s="27">
        <v>13</v>
      </c>
    </row>
    <row r="51" spans="1:114">
      <c r="A51" s="31">
        <v>2021</v>
      </c>
      <c r="N51" s="23">
        <v>47</v>
      </c>
      <c r="O51" s="23" t="s">
        <v>177</v>
      </c>
      <c r="P51" s="23" t="s">
        <v>439</v>
      </c>
      <c r="Q51" s="23">
        <v>1</v>
      </c>
      <c r="R51" s="23">
        <v>1</v>
      </c>
      <c r="S51" s="23">
        <v>4</v>
      </c>
      <c r="T51" s="23">
        <v>4</v>
      </c>
      <c r="U51" s="23">
        <v>5</v>
      </c>
      <c r="V51" s="23">
        <v>3</v>
      </c>
      <c r="W51" s="23"/>
      <c r="X51" s="23"/>
      <c r="Y51" s="23"/>
      <c r="Z51" s="23"/>
      <c r="AA51" s="23"/>
      <c r="AB51" s="23"/>
      <c r="AC51" s="24">
        <v>18</v>
      </c>
      <c r="AD51" s="25"/>
      <c r="AE51" s="26"/>
      <c r="AF51" s="2"/>
      <c r="AG51" s="23">
        <v>47</v>
      </c>
      <c r="AH51" s="23" t="s">
        <v>177</v>
      </c>
      <c r="AI51" s="23" t="s">
        <v>439</v>
      </c>
      <c r="AJ51" s="23">
        <v>17</v>
      </c>
      <c r="AK51" s="23">
        <v>0</v>
      </c>
      <c r="AL51" s="23">
        <v>0</v>
      </c>
      <c r="AM51" s="23">
        <v>0</v>
      </c>
      <c r="AN51" s="23">
        <v>1</v>
      </c>
      <c r="AO51" s="23">
        <v>0</v>
      </c>
      <c r="AP51" s="23">
        <v>0</v>
      </c>
      <c r="AQ51" s="23">
        <v>0</v>
      </c>
      <c r="AR51" s="23"/>
      <c r="AS51" s="23">
        <v>0</v>
      </c>
      <c r="AT51" s="23">
        <f t="shared" si="0"/>
        <v>18</v>
      </c>
      <c r="AX51" s="23">
        <v>47</v>
      </c>
      <c r="AY51" s="23" t="s">
        <v>235</v>
      </c>
      <c r="AZ51" s="23" t="s">
        <v>427</v>
      </c>
      <c r="BA51" s="23">
        <v>0</v>
      </c>
      <c r="BB51" s="23">
        <v>0</v>
      </c>
      <c r="BC51" s="23">
        <v>4</v>
      </c>
      <c r="BD51" s="23">
        <v>6</v>
      </c>
      <c r="BE51" s="23">
        <v>9</v>
      </c>
      <c r="BF51" s="23">
        <v>0</v>
      </c>
      <c r="BG51" s="23"/>
      <c r="BH51" s="23"/>
      <c r="BI51" s="23"/>
      <c r="BJ51" s="23"/>
      <c r="BK51" s="23"/>
      <c r="BL51" s="23"/>
      <c r="BM51" s="23">
        <v>19</v>
      </c>
      <c r="BN51" s="2"/>
      <c r="BO51" s="2"/>
      <c r="BP51" s="23">
        <v>47</v>
      </c>
      <c r="BQ51" s="23" t="s">
        <v>235</v>
      </c>
      <c r="BR51" s="23" t="s">
        <v>427</v>
      </c>
      <c r="BS51" s="23">
        <v>18</v>
      </c>
      <c r="BT51" s="23">
        <v>0</v>
      </c>
      <c r="BU51" s="23">
        <v>1</v>
      </c>
      <c r="BV51" s="23">
        <v>0</v>
      </c>
      <c r="BW51" s="23">
        <v>0</v>
      </c>
      <c r="BX51" s="23">
        <v>0</v>
      </c>
      <c r="BY51" s="23">
        <v>0</v>
      </c>
      <c r="BZ51" s="23"/>
      <c r="CA51" s="23">
        <v>0</v>
      </c>
      <c r="CB51" s="23">
        <f t="shared" si="1"/>
        <v>19</v>
      </c>
      <c r="CF51" s="23">
        <v>47</v>
      </c>
      <c r="CG51" s="23" t="s">
        <v>311</v>
      </c>
      <c r="CH51" s="23" t="s">
        <v>312</v>
      </c>
      <c r="CI51" s="23">
        <v>0</v>
      </c>
      <c r="CJ51" s="23">
        <v>2</v>
      </c>
      <c r="CK51" s="23">
        <v>0</v>
      </c>
      <c r="CL51" s="23">
        <v>1</v>
      </c>
      <c r="CM51" s="23">
        <v>7</v>
      </c>
      <c r="CN51" s="23">
        <v>3</v>
      </c>
      <c r="CO51" s="23"/>
      <c r="CP51" s="23"/>
      <c r="CQ51" s="23"/>
      <c r="CR51" s="23"/>
      <c r="CS51" s="23"/>
      <c r="CT51" s="23"/>
      <c r="CU51" s="23">
        <v>13</v>
      </c>
      <c r="CV51" s="2"/>
      <c r="CW51" s="2"/>
      <c r="CX51" s="23">
        <v>47</v>
      </c>
      <c r="CY51" s="23" t="s">
        <v>311</v>
      </c>
      <c r="CZ51" s="23" t="s">
        <v>312</v>
      </c>
      <c r="DA51" s="23">
        <v>7</v>
      </c>
      <c r="DB51" s="23">
        <v>0</v>
      </c>
      <c r="DC51" s="23">
        <v>5</v>
      </c>
      <c r="DD51" s="23">
        <v>0</v>
      </c>
      <c r="DE51" s="23">
        <v>0</v>
      </c>
      <c r="DF51" s="23">
        <v>1</v>
      </c>
      <c r="DG51" s="23">
        <v>0</v>
      </c>
      <c r="DH51" s="23"/>
      <c r="DI51" s="23"/>
      <c r="DJ51" s="23">
        <v>13</v>
      </c>
    </row>
    <row r="52" spans="1:114">
      <c r="A52" s="15" t="s">
        <v>0</v>
      </c>
      <c r="B52" s="15" t="s">
        <v>1</v>
      </c>
      <c r="C52" s="15" t="s">
        <v>2</v>
      </c>
      <c r="D52" s="15" t="s">
        <v>3</v>
      </c>
      <c r="E52" s="15" t="s">
        <v>4</v>
      </c>
      <c r="F52" s="15" t="s">
        <v>5</v>
      </c>
      <c r="G52" s="15" t="s">
        <v>6</v>
      </c>
      <c r="H52" s="15" t="s">
        <v>7</v>
      </c>
      <c r="I52" s="15" t="s">
        <v>8</v>
      </c>
      <c r="J52" s="15" t="s">
        <v>9</v>
      </c>
      <c r="K52" s="15" t="s">
        <v>10</v>
      </c>
      <c r="L52" s="15" t="s">
        <v>11</v>
      </c>
      <c r="N52" s="27">
        <v>48</v>
      </c>
      <c r="O52" s="27" t="s">
        <v>165</v>
      </c>
      <c r="P52" s="27" t="s">
        <v>461</v>
      </c>
      <c r="Q52" s="27">
        <v>4</v>
      </c>
      <c r="R52" s="27">
        <v>1</v>
      </c>
      <c r="S52" s="27">
        <v>1</v>
      </c>
      <c r="T52" s="27">
        <v>5</v>
      </c>
      <c r="U52" s="27">
        <v>2</v>
      </c>
      <c r="V52" s="27">
        <v>4</v>
      </c>
      <c r="W52" s="27"/>
      <c r="X52" s="27"/>
      <c r="Y52" s="27"/>
      <c r="Z52" s="27"/>
      <c r="AA52" s="27"/>
      <c r="AB52" s="27"/>
      <c r="AC52" s="28">
        <v>17</v>
      </c>
      <c r="AD52" s="25"/>
      <c r="AE52" s="26"/>
      <c r="AF52" s="2"/>
      <c r="AG52" s="27">
        <v>48</v>
      </c>
      <c r="AH52" s="27" t="s">
        <v>165</v>
      </c>
      <c r="AI52" s="27" t="s">
        <v>461</v>
      </c>
      <c r="AJ52" s="27">
        <v>17</v>
      </c>
      <c r="AK52" s="27">
        <v>0</v>
      </c>
      <c r="AL52" s="27">
        <v>0</v>
      </c>
      <c r="AM52" s="27">
        <v>0</v>
      </c>
      <c r="AN52" s="27">
        <v>0</v>
      </c>
      <c r="AO52" s="27">
        <v>0</v>
      </c>
      <c r="AP52" s="27">
        <v>0</v>
      </c>
      <c r="AQ52" s="27">
        <v>0</v>
      </c>
      <c r="AR52" s="27"/>
      <c r="AS52" s="27">
        <v>0</v>
      </c>
      <c r="AT52" s="27">
        <f t="shared" si="0"/>
        <v>17</v>
      </c>
      <c r="AX52" s="27">
        <v>48</v>
      </c>
      <c r="AY52" s="27" t="s">
        <v>403</v>
      </c>
      <c r="AZ52" s="27" t="s">
        <v>404</v>
      </c>
      <c r="BA52" s="27">
        <v>3</v>
      </c>
      <c r="BB52" s="27">
        <v>0</v>
      </c>
      <c r="BC52" s="27">
        <v>5</v>
      </c>
      <c r="BD52" s="27">
        <v>6</v>
      </c>
      <c r="BE52" s="27">
        <v>5</v>
      </c>
      <c r="BF52" s="27">
        <v>0</v>
      </c>
      <c r="BG52" s="27"/>
      <c r="BH52" s="27"/>
      <c r="BI52" s="27"/>
      <c r="BJ52" s="27"/>
      <c r="BK52" s="27"/>
      <c r="BL52" s="27"/>
      <c r="BM52" s="27">
        <v>19</v>
      </c>
      <c r="BN52" s="2"/>
      <c r="BO52" s="2"/>
      <c r="BP52" s="27">
        <v>48</v>
      </c>
      <c r="BQ52" s="27" t="s">
        <v>403</v>
      </c>
      <c r="BR52" s="27" t="s">
        <v>404</v>
      </c>
      <c r="BS52" s="27">
        <v>16</v>
      </c>
      <c r="BT52" s="27">
        <v>0</v>
      </c>
      <c r="BU52" s="27">
        <v>2</v>
      </c>
      <c r="BV52" s="27">
        <v>1</v>
      </c>
      <c r="BW52" s="27">
        <v>0</v>
      </c>
      <c r="BX52" s="27">
        <v>0</v>
      </c>
      <c r="BY52" s="27">
        <v>0</v>
      </c>
      <c r="BZ52" s="27"/>
      <c r="CA52" s="27">
        <v>0</v>
      </c>
      <c r="CB52" s="27">
        <f t="shared" si="1"/>
        <v>19</v>
      </c>
      <c r="CF52" s="27">
        <v>48</v>
      </c>
      <c r="CG52" s="27" t="s">
        <v>305</v>
      </c>
      <c r="CH52" s="27" t="s">
        <v>306</v>
      </c>
      <c r="CI52" s="27">
        <v>12</v>
      </c>
      <c r="CJ52" s="27">
        <v>0</v>
      </c>
      <c r="CK52" s="27">
        <v>0</v>
      </c>
      <c r="CL52" s="27">
        <v>1</v>
      </c>
      <c r="CM52" s="27">
        <v>0</v>
      </c>
      <c r="CN52" s="27">
        <v>0</v>
      </c>
      <c r="CO52" s="27"/>
      <c r="CP52" s="27"/>
      <c r="CQ52" s="27"/>
      <c r="CR52" s="27"/>
      <c r="CS52" s="27"/>
      <c r="CT52" s="27"/>
      <c r="CU52" s="27">
        <v>13</v>
      </c>
      <c r="CV52" s="2"/>
      <c r="CW52" s="2"/>
      <c r="CX52" s="27">
        <v>48</v>
      </c>
      <c r="CY52" s="27" t="s">
        <v>305</v>
      </c>
      <c r="CZ52" s="27" t="s">
        <v>306</v>
      </c>
      <c r="DA52" s="27">
        <v>11</v>
      </c>
      <c r="DB52" s="27">
        <v>0</v>
      </c>
      <c r="DC52" s="27">
        <v>2</v>
      </c>
      <c r="DD52" s="27">
        <v>0</v>
      </c>
      <c r="DE52" s="27">
        <v>0</v>
      </c>
      <c r="DF52" s="27">
        <v>0</v>
      </c>
      <c r="DG52" s="27">
        <v>0</v>
      </c>
      <c r="DH52" s="27"/>
      <c r="DI52" s="27"/>
      <c r="DJ52" s="27">
        <v>13</v>
      </c>
    </row>
    <row r="53" spans="1:114">
      <c r="A53" s="1" t="s">
        <v>215</v>
      </c>
      <c r="B53" s="1" t="s">
        <v>184</v>
      </c>
      <c r="C53" s="1" t="s">
        <v>184</v>
      </c>
      <c r="D53" s="1" t="s">
        <v>184</v>
      </c>
      <c r="E53" s="1" t="s">
        <v>35</v>
      </c>
      <c r="F53" s="1" t="s">
        <v>35</v>
      </c>
      <c r="G53" s="1" t="s">
        <v>209</v>
      </c>
      <c r="H53" s="1" t="s">
        <v>209</v>
      </c>
      <c r="I53" s="1" t="s">
        <v>65</v>
      </c>
      <c r="J53" s="1" t="s">
        <v>65</v>
      </c>
      <c r="K53" s="1" t="s">
        <v>209</v>
      </c>
      <c r="L53" s="1" t="s">
        <v>209</v>
      </c>
      <c r="N53" s="23">
        <v>49</v>
      </c>
      <c r="O53" s="23" t="s">
        <v>363</v>
      </c>
      <c r="P53" s="23" t="s">
        <v>364</v>
      </c>
      <c r="Q53" s="23">
        <v>0</v>
      </c>
      <c r="R53" s="23">
        <v>4</v>
      </c>
      <c r="S53" s="23">
        <v>6</v>
      </c>
      <c r="T53" s="23">
        <v>3</v>
      </c>
      <c r="U53" s="23">
        <v>2</v>
      </c>
      <c r="V53" s="23">
        <v>2</v>
      </c>
      <c r="W53" s="23"/>
      <c r="X53" s="23"/>
      <c r="Y53" s="23"/>
      <c r="Z53" s="23"/>
      <c r="AA53" s="23"/>
      <c r="AB53" s="23"/>
      <c r="AC53" s="24">
        <v>17</v>
      </c>
      <c r="AD53" s="25"/>
      <c r="AE53" s="26"/>
      <c r="AF53" s="2"/>
      <c r="AG53" s="23">
        <v>49</v>
      </c>
      <c r="AH53" s="23" t="s">
        <v>363</v>
      </c>
      <c r="AI53" s="23" t="s">
        <v>364</v>
      </c>
      <c r="AJ53" s="23">
        <v>11</v>
      </c>
      <c r="AK53" s="23">
        <v>0</v>
      </c>
      <c r="AL53" s="23">
        <v>0</v>
      </c>
      <c r="AM53" s="23">
        <v>3</v>
      </c>
      <c r="AN53" s="23">
        <v>3</v>
      </c>
      <c r="AO53" s="23">
        <v>0</v>
      </c>
      <c r="AP53" s="23">
        <v>0</v>
      </c>
      <c r="AQ53" s="23">
        <v>0</v>
      </c>
      <c r="AR53" s="23"/>
      <c r="AS53" s="23">
        <v>0</v>
      </c>
      <c r="AT53" s="23">
        <f t="shared" si="0"/>
        <v>17</v>
      </c>
      <c r="AX53" s="23">
        <v>49</v>
      </c>
      <c r="AY53" s="23" t="s">
        <v>365</v>
      </c>
      <c r="AZ53" s="23" t="s">
        <v>366</v>
      </c>
      <c r="BA53" s="23">
        <v>1</v>
      </c>
      <c r="BB53" s="23">
        <v>5</v>
      </c>
      <c r="BC53" s="23">
        <v>5</v>
      </c>
      <c r="BD53" s="23">
        <v>1</v>
      </c>
      <c r="BE53" s="23">
        <v>6</v>
      </c>
      <c r="BF53" s="23">
        <v>0</v>
      </c>
      <c r="BG53" s="23"/>
      <c r="BH53" s="23"/>
      <c r="BI53" s="23"/>
      <c r="BJ53" s="23"/>
      <c r="BK53" s="23"/>
      <c r="BL53" s="23"/>
      <c r="BM53" s="23">
        <v>18</v>
      </c>
      <c r="BN53" s="2"/>
      <c r="BO53" s="2"/>
      <c r="BP53" s="23">
        <v>49</v>
      </c>
      <c r="BQ53" s="23" t="s">
        <v>365</v>
      </c>
      <c r="BR53" s="23" t="s">
        <v>366</v>
      </c>
      <c r="BS53" s="23">
        <v>17</v>
      </c>
      <c r="BT53" s="23">
        <v>0</v>
      </c>
      <c r="BU53" s="23">
        <v>1</v>
      </c>
      <c r="BV53" s="23">
        <v>0</v>
      </c>
      <c r="BW53" s="23">
        <v>0</v>
      </c>
      <c r="BX53" s="23">
        <v>0</v>
      </c>
      <c r="BY53" s="23">
        <v>0</v>
      </c>
      <c r="BZ53" s="23"/>
      <c r="CA53" s="23">
        <v>0</v>
      </c>
      <c r="CB53" s="23">
        <f t="shared" si="1"/>
        <v>18</v>
      </c>
      <c r="CF53" s="23">
        <v>49</v>
      </c>
      <c r="CG53" s="23" t="s">
        <v>379</v>
      </c>
      <c r="CH53" s="23" t="s">
        <v>380</v>
      </c>
      <c r="CI53" s="23">
        <v>0</v>
      </c>
      <c r="CJ53" s="23">
        <v>1</v>
      </c>
      <c r="CK53" s="23">
        <v>2</v>
      </c>
      <c r="CL53" s="23">
        <v>0</v>
      </c>
      <c r="CM53" s="23">
        <v>4</v>
      </c>
      <c r="CN53" s="23">
        <v>6</v>
      </c>
      <c r="CO53" s="23"/>
      <c r="CP53" s="23"/>
      <c r="CQ53" s="23"/>
      <c r="CR53" s="23"/>
      <c r="CS53" s="23"/>
      <c r="CT53" s="23"/>
      <c r="CU53" s="23">
        <v>13</v>
      </c>
      <c r="CV53" s="2"/>
      <c r="CW53" s="2"/>
      <c r="CX53" s="23">
        <v>49</v>
      </c>
      <c r="CY53" s="23" t="s">
        <v>379</v>
      </c>
      <c r="CZ53" s="23" t="s">
        <v>380</v>
      </c>
      <c r="DA53" s="23">
        <v>13</v>
      </c>
      <c r="DB53" s="23">
        <v>0</v>
      </c>
      <c r="DC53" s="23">
        <v>0</v>
      </c>
      <c r="DD53" s="23">
        <v>0</v>
      </c>
      <c r="DE53" s="23">
        <v>0</v>
      </c>
      <c r="DF53" s="23">
        <v>0</v>
      </c>
      <c r="DG53" s="23">
        <v>0</v>
      </c>
      <c r="DH53" s="23"/>
      <c r="DI53" s="23"/>
      <c r="DJ53" s="23">
        <v>13</v>
      </c>
    </row>
    <row r="54" spans="1:114">
      <c r="A54" s="1" t="s">
        <v>141</v>
      </c>
      <c r="B54" s="1" t="s">
        <v>115</v>
      </c>
      <c r="C54" s="1" t="s">
        <v>212</v>
      </c>
      <c r="D54" s="1" t="s">
        <v>35</v>
      </c>
      <c r="E54" s="1" t="s">
        <v>184</v>
      </c>
      <c r="F54" s="1" t="s">
        <v>209</v>
      </c>
      <c r="G54" s="1" t="s">
        <v>35</v>
      </c>
      <c r="H54" s="1" t="s">
        <v>65</v>
      </c>
      <c r="I54" s="1" t="s">
        <v>209</v>
      </c>
      <c r="J54" s="1" t="s">
        <v>209</v>
      </c>
      <c r="K54" s="1" t="s">
        <v>65</v>
      </c>
      <c r="L54" s="1" t="s">
        <v>65</v>
      </c>
      <c r="N54" s="27">
        <v>50</v>
      </c>
      <c r="O54" s="27" t="s">
        <v>203</v>
      </c>
      <c r="P54" s="27" t="s">
        <v>354</v>
      </c>
      <c r="Q54" s="27">
        <v>0</v>
      </c>
      <c r="R54" s="27">
        <v>5</v>
      </c>
      <c r="S54" s="27">
        <v>3</v>
      </c>
      <c r="T54" s="27">
        <v>4</v>
      </c>
      <c r="U54" s="27">
        <v>3</v>
      </c>
      <c r="V54" s="27">
        <v>2</v>
      </c>
      <c r="W54" s="27"/>
      <c r="X54" s="27"/>
      <c r="Y54" s="27"/>
      <c r="Z54" s="27"/>
      <c r="AA54" s="27"/>
      <c r="AB54" s="27"/>
      <c r="AC54" s="28">
        <v>17</v>
      </c>
      <c r="AD54" s="25"/>
      <c r="AE54" s="26"/>
      <c r="AF54" s="2"/>
      <c r="AG54" s="27">
        <v>50</v>
      </c>
      <c r="AH54" s="27" t="s">
        <v>203</v>
      </c>
      <c r="AI54" s="27" t="s">
        <v>354</v>
      </c>
      <c r="AJ54" s="27">
        <v>17</v>
      </c>
      <c r="AK54" s="27">
        <v>0</v>
      </c>
      <c r="AL54" s="27">
        <v>0</v>
      </c>
      <c r="AM54" s="27">
        <v>0</v>
      </c>
      <c r="AN54" s="27">
        <v>0</v>
      </c>
      <c r="AO54" s="27">
        <v>0</v>
      </c>
      <c r="AP54" s="27">
        <v>0</v>
      </c>
      <c r="AQ54" s="27">
        <v>0</v>
      </c>
      <c r="AR54" s="27"/>
      <c r="AS54" s="27">
        <v>0</v>
      </c>
      <c r="AT54" s="27">
        <f t="shared" si="0"/>
        <v>17</v>
      </c>
      <c r="AX54" s="27">
        <v>50</v>
      </c>
      <c r="AY54" s="27" t="s">
        <v>462</v>
      </c>
      <c r="AZ54" s="27" t="s">
        <v>463</v>
      </c>
      <c r="BA54" s="27">
        <v>2</v>
      </c>
      <c r="BB54" s="27">
        <v>0</v>
      </c>
      <c r="BC54" s="27">
        <v>2</v>
      </c>
      <c r="BD54" s="27">
        <v>1</v>
      </c>
      <c r="BE54" s="27">
        <v>6</v>
      </c>
      <c r="BF54" s="27">
        <v>7</v>
      </c>
      <c r="BG54" s="27"/>
      <c r="BH54" s="27"/>
      <c r="BI54" s="27"/>
      <c r="BJ54" s="27"/>
      <c r="BK54" s="27"/>
      <c r="BL54" s="27"/>
      <c r="BM54" s="27">
        <v>18</v>
      </c>
      <c r="BN54" s="2"/>
      <c r="BO54" s="2"/>
      <c r="BP54" s="27">
        <v>50</v>
      </c>
      <c r="BQ54" s="27" t="s">
        <v>462</v>
      </c>
      <c r="BR54" s="27" t="s">
        <v>463</v>
      </c>
      <c r="BS54" s="27">
        <v>13</v>
      </c>
      <c r="BT54" s="27">
        <v>0</v>
      </c>
      <c r="BU54" s="27">
        <v>3</v>
      </c>
      <c r="BV54" s="27">
        <v>2</v>
      </c>
      <c r="BW54" s="27">
        <v>0</v>
      </c>
      <c r="BX54" s="27">
        <v>0</v>
      </c>
      <c r="BY54" s="27">
        <v>0</v>
      </c>
      <c r="BZ54" s="27"/>
      <c r="CA54" s="27">
        <v>0</v>
      </c>
      <c r="CB54" s="27">
        <f t="shared" si="1"/>
        <v>18</v>
      </c>
      <c r="CF54" s="27">
        <v>50</v>
      </c>
      <c r="CG54" s="27" t="s">
        <v>464</v>
      </c>
      <c r="CH54" s="27" t="s">
        <v>465</v>
      </c>
      <c r="CI54" s="27">
        <v>2</v>
      </c>
      <c r="CJ54" s="27">
        <v>1</v>
      </c>
      <c r="CK54" s="27">
        <v>2</v>
      </c>
      <c r="CL54" s="27">
        <v>3</v>
      </c>
      <c r="CM54" s="27">
        <v>2</v>
      </c>
      <c r="CN54" s="27">
        <v>2</v>
      </c>
      <c r="CO54" s="27"/>
      <c r="CP54" s="27"/>
      <c r="CQ54" s="27"/>
      <c r="CR54" s="27"/>
      <c r="CS54" s="27"/>
      <c r="CT54" s="27"/>
      <c r="CU54" s="27">
        <v>12</v>
      </c>
      <c r="CV54" s="2"/>
      <c r="CW54" s="2"/>
      <c r="CX54" s="27">
        <v>50</v>
      </c>
      <c r="CY54" s="27" t="s">
        <v>464</v>
      </c>
      <c r="CZ54" s="27" t="s">
        <v>465</v>
      </c>
      <c r="DA54" s="27">
        <v>11</v>
      </c>
      <c r="DB54" s="27">
        <v>0</v>
      </c>
      <c r="DC54" s="27">
        <v>0</v>
      </c>
      <c r="DD54" s="27">
        <v>1</v>
      </c>
      <c r="DE54" s="27">
        <v>0</v>
      </c>
      <c r="DF54" s="27">
        <v>0</v>
      </c>
      <c r="DG54" s="27">
        <v>0</v>
      </c>
      <c r="DH54" s="27"/>
      <c r="DI54" s="27"/>
      <c r="DJ54" s="27">
        <v>12</v>
      </c>
    </row>
    <row r="55" spans="1:114">
      <c r="A55" s="1" t="s">
        <v>217</v>
      </c>
      <c r="B55" s="1" t="s">
        <v>141</v>
      </c>
      <c r="C55" s="1" t="s">
        <v>209</v>
      </c>
      <c r="D55" s="1" t="s">
        <v>209</v>
      </c>
      <c r="E55" s="1" t="s">
        <v>209</v>
      </c>
      <c r="F55" s="1" t="s">
        <v>184</v>
      </c>
      <c r="G55" s="1" t="s">
        <v>240</v>
      </c>
      <c r="H55" s="1" t="s">
        <v>35</v>
      </c>
      <c r="I55" s="1" t="s">
        <v>35</v>
      </c>
      <c r="J55" s="1" t="s">
        <v>35</v>
      </c>
      <c r="K55" s="1" t="s">
        <v>35</v>
      </c>
      <c r="L55" s="1" t="s">
        <v>35</v>
      </c>
    </row>
    <row r="56" spans="1:114">
      <c r="A56" s="1" t="s">
        <v>216</v>
      </c>
      <c r="B56" s="1" t="s">
        <v>215</v>
      </c>
      <c r="C56" s="1" t="s">
        <v>117</v>
      </c>
      <c r="D56" s="1" t="s">
        <v>117</v>
      </c>
      <c r="E56" s="1" t="s">
        <v>213</v>
      </c>
      <c r="F56" s="1" t="s">
        <v>240</v>
      </c>
      <c r="G56" s="1" t="s">
        <v>184</v>
      </c>
      <c r="H56" s="1" t="s">
        <v>240</v>
      </c>
      <c r="I56" s="1" t="s">
        <v>240</v>
      </c>
      <c r="J56" s="1" t="s">
        <v>184</v>
      </c>
      <c r="K56" s="1" t="s">
        <v>184</v>
      </c>
      <c r="L56" s="1" t="s">
        <v>184</v>
      </c>
    </row>
    <row r="57" spans="1:114">
      <c r="A57" s="1" t="s">
        <v>209</v>
      </c>
      <c r="B57" s="1" t="s">
        <v>209</v>
      </c>
      <c r="C57" s="1" t="s">
        <v>188</v>
      </c>
      <c r="D57" s="1" t="s">
        <v>212</v>
      </c>
      <c r="E57" s="1" t="s">
        <v>117</v>
      </c>
      <c r="F57" s="1" t="s">
        <v>117</v>
      </c>
      <c r="G57" s="1" t="s">
        <v>117</v>
      </c>
      <c r="H57" s="1" t="s">
        <v>184</v>
      </c>
      <c r="I57" s="1" t="s">
        <v>184</v>
      </c>
      <c r="J57" s="1" t="s">
        <v>240</v>
      </c>
      <c r="K57" s="1" t="s">
        <v>240</v>
      </c>
      <c r="L57" s="1" t="s">
        <v>240</v>
      </c>
    </row>
    <row r="58" spans="1:114">
      <c r="A58" s="1" t="s">
        <v>184</v>
      </c>
      <c r="B58" s="1" t="s">
        <v>188</v>
      </c>
      <c r="C58" s="1" t="s">
        <v>199</v>
      </c>
      <c r="D58" s="1" t="s">
        <v>213</v>
      </c>
      <c r="E58" s="1" t="s">
        <v>240</v>
      </c>
      <c r="F58" s="1" t="s">
        <v>213</v>
      </c>
      <c r="G58" s="1" t="s">
        <v>221</v>
      </c>
      <c r="H58" s="1" t="s">
        <v>117</v>
      </c>
      <c r="I58" s="1" t="s">
        <v>221</v>
      </c>
      <c r="J58" s="1" t="s">
        <v>117</v>
      </c>
      <c r="K58" s="1" t="s">
        <v>19</v>
      </c>
      <c r="L58" s="1" t="s">
        <v>19</v>
      </c>
    </row>
    <row r="59" spans="1:114">
      <c r="A59" s="1" t="s">
        <v>19</v>
      </c>
      <c r="B59" s="1" t="s">
        <v>112</v>
      </c>
      <c r="C59" s="1" t="s">
        <v>173</v>
      </c>
      <c r="D59" s="1" t="s">
        <v>173</v>
      </c>
      <c r="E59" s="1" t="s">
        <v>173</v>
      </c>
      <c r="F59" s="1" t="s">
        <v>221</v>
      </c>
      <c r="G59" s="1" t="s">
        <v>213</v>
      </c>
      <c r="H59" s="1" t="s">
        <v>221</v>
      </c>
      <c r="I59" s="1" t="s">
        <v>117</v>
      </c>
      <c r="J59" s="1" t="s">
        <v>19</v>
      </c>
      <c r="K59" s="1" t="s">
        <v>117</v>
      </c>
      <c r="L59" s="1" t="s">
        <v>117</v>
      </c>
    </row>
    <row r="60" spans="1:114">
      <c r="A60" s="1" t="s">
        <v>223</v>
      </c>
      <c r="B60" s="1" t="s">
        <v>203</v>
      </c>
      <c r="C60" s="1" t="s">
        <v>213</v>
      </c>
      <c r="D60" s="1" t="s">
        <v>199</v>
      </c>
      <c r="E60" s="1" t="s">
        <v>236</v>
      </c>
      <c r="F60" s="1" t="s">
        <v>19</v>
      </c>
      <c r="G60" s="1" t="s">
        <v>188</v>
      </c>
      <c r="H60" s="1" t="s">
        <v>19</v>
      </c>
      <c r="I60" s="1" t="s">
        <v>19</v>
      </c>
      <c r="J60" s="1" t="s">
        <v>221</v>
      </c>
      <c r="K60" s="1" t="s">
        <v>221</v>
      </c>
      <c r="L60" s="1" t="s">
        <v>221</v>
      </c>
    </row>
    <row r="61" spans="1:114">
      <c r="A61" s="1" t="s">
        <v>220</v>
      </c>
      <c r="B61" s="1" t="s">
        <v>216</v>
      </c>
      <c r="C61" s="1" t="s">
        <v>115</v>
      </c>
      <c r="D61" s="1" t="s">
        <v>221</v>
      </c>
      <c r="E61" s="1" t="s">
        <v>221</v>
      </c>
      <c r="F61" s="1" t="s">
        <v>236</v>
      </c>
      <c r="G61" s="1" t="s">
        <v>19</v>
      </c>
      <c r="H61" s="1" t="s">
        <v>213</v>
      </c>
      <c r="I61" s="1" t="s">
        <v>213</v>
      </c>
      <c r="J61" s="1" t="s">
        <v>148</v>
      </c>
      <c r="K61" s="1" t="s">
        <v>183</v>
      </c>
      <c r="L61" s="1" t="s">
        <v>213</v>
      </c>
    </row>
    <row r="62" spans="1:114">
      <c r="A62" s="1" t="s">
        <v>112</v>
      </c>
      <c r="B62" s="1" t="s">
        <v>230</v>
      </c>
      <c r="C62" s="1" t="s">
        <v>235</v>
      </c>
      <c r="D62" s="1" t="s">
        <v>19</v>
      </c>
      <c r="E62" s="1" t="s">
        <v>210</v>
      </c>
      <c r="F62" s="1" t="s">
        <v>188</v>
      </c>
      <c r="G62" s="1" t="s">
        <v>210</v>
      </c>
      <c r="H62" s="1" t="s">
        <v>148</v>
      </c>
      <c r="I62" s="1" t="s">
        <v>148</v>
      </c>
      <c r="J62" s="1" t="s">
        <v>213</v>
      </c>
      <c r="K62" s="1" t="s">
        <v>148</v>
      </c>
      <c r="L62" s="1" t="s">
        <v>183</v>
      </c>
    </row>
    <row r="63" spans="1:114">
      <c r="A63" s="1" t="s">
        <v>224</v>
      </c>
      <c r="B63" s="1" t="s">
        <v>218</v>
      </c>
      <c r="C63" s="1" t="s">
        <v>238</v>
      </c>
      <c r="D63" s="1" t="s">
        <v>240</v>
      </c>
      <c r="E63" s="1" t="s">
        <v>212</v>
      </c>
      <c r="F63" s="1" t="s">
        <v>173</v>
      </c>
      <c r="G63" s="1" t="s">
        <v>173</v>
      </c>
      <c r="H63" s="1" t="s">
        <v>188</v>
      </c>
      <c r="I63" s="1" t="s">
        <v>210</v>
      </c>
      <c r="J63" s="1" t="s">
        <v>210</v>
      </c>
      <c r="K63" s="1" t="s">
        <v>213</v>
      </c>
      <c r="L63" s="1" t="s">
        <v>148</v>
      </c>
    </row>
    <row r="64" spans="1:114">
      <c r="A64" s="1" t="s">
        <v>183</v>
      </c>
      <c r="B64" s="1" t="s">
        <v>231</v>
      </c>
      <c r="C64" s="1" t="s">
        <v>216</v>
      </c>
      <c r="D64" s="1" t="s">
        <v>183</v>
      </c>
      <c r="E64" s="1" t="s">
        <v>188</v>
      </c>
      <c r="F64" s="1" t="s">
        <v>183</v>
      </c>
      <c r="G64" s="1" t="s">
        <v>186</v>
      </c>
      <c r="H64" s="1" t="s">
        <v>210</v>
      </c>
      <c r="I64" s="1" t="s">
        <v>243</v>
      </c>
      <c r="J64" s="1" t="s">
        <v>243</v>
      </c>
      <c r="K64" s="1" t="s">
        <v>210</v>
      </c>
      <c r="L64" s="1" t="s">
        <v>243</v>
      </c>
    </row>
    <row r="65" spans="1:12">
      <c r="A65" s="1" t="s">
        <v>225</v>
      </c>
      <c r="B65" s="1" t="s">
        <v>148</v>
      </c>
      <c r="C65" s="1" t="s">
        <v>35</v>
      </c>
      <c r="D65" s="1" t="s">
        <v>210</v>
      </c>
      <c r="E65" s="1" t="s">
        <v>199</v>
      </c>
      <c r="F65" s="1" t="s">
        <v>212</v>
      </c>
      <c r="G65" s="1" t="s">
        <v>183</v>
      </c>
      <c r="H65" s="1" t="s">
        <v>173</v>
      </c>
      <c r="I65" s="1" t="s">
        <v>109</v>
      </c>
      <c r="J65" s="1" t="s">
        <v>137</v>
      </c>
      <c r="K65" s="1" t="s">
        <v>243</v>
      </c>
      <c r="L65" s="1" t="s">
        <v>210</v>
      </c>
    </row>
    <row r="66" spans="1:12">
      <c r="A66" s="1" t="s">
        <v>35</v>
      </c>
      <c r="B66" s="1" t="s">
        <v>212</v>
      </c>
      <c r="C66" s="1" t="s">
        <v>148</v>
      </c>
      <c r="D66" s="1" t="s">
        <v>188</v>
      </c>
      <c r="E66" s="1" t="s">
        <v>183</v>
      </c>
      <c r="F66" s="1" t="s">
        <v>109</v>
      </c>
      <c r="G66" s="1" t="s">
        <v>109</v>
      </c>
      <c r="H66" s="1" t="s">
        <v>109</v>
      </c>
      <c r="I66" s="1" t="s">
        <v>188</v>
      </c>
      <c r="J66" s="1" t="s">
        <v>109</v>
      </c>
      <c r="K66" s="1" t="s">
        <v>109</v>
      </c>
      <c r="L66" s="1" t="s">
        <v>137</v>
      </c>
    </row>
    <row r="67" spans="1:12">
      <c r="A67" s="1" t="s">
        <v>219</v>
      </c>
      <c r="B67" s="1" t="s">
        <v>217</v>
      </c>
      <c r="C67" s="1" t="s">
        <v>141</v>
      </c>
      <c r="D67" s="1" t="s">
        <v>236</v>
      </c>
      <c r="E67" s="1" t="s">
        <v>148</v>
      </c>
      <c r="F67" s="1" t="s">
        <v>210</v>
      </c>
      <c r="G67" s="1" t="s">
        <v>148</v>
      </c>
      <c r="H67" s="1" t="s">
        <v>203</v>
      </c>
      <c r="I67" s="1" t="s">
        <v>244</v>
      </c>
      <c r="J67" s="1" t="s">
        <v>244</v>
      </c>
      <c r="K67" s="1" t="s">
        <v>137</v>
      </c>
      <c r="L67" s="1" t="s">
        <v>242</v>
      </c>
    </row>
    <row r="68" spans="1:12">
      <c r="A68" s="1" t="s">
        <v>226</v>
      </c>
      <c r="B68" s="1" t="s">
        <v>206</v>
      </c>
      <c r="C68" s="1" t="s">
        <v>239</v>
      </c>
      <c r="D68" s="1" t="s">
        <v>148</v>
      </c>
      <c r="E68" s="1" t="s">
        <v>19</v>
      </c>
      <c r="F68" s="1" t="s">
        <v>199</v>
      </c>
      <c r="G68" s="1" t="s">
        <v>203</v>
      </c>
      <c r="H68" s="1" t="s">
        <v>186</v>
      </c>
      <c r="I68" s="1" t="s">
        <v>203</v>
      </c>
      <c r="J68" s="1" t="s">
        <v>183</v>
      </c>
      <c r="K68" s="1" t="s">
        <v>244</v>
      </c>
      <c r="L68" s="1" t="s">
        <v>236</v>
      </c>
    </row>
    <row r="69" spans="1:12">
      <c r="A69" s="1" t="s">
        <v>227</v>
      </c>
      <c r="B69" s="1" t="s">
        <v>224</v>
      </c>
      <c r="C69" s="1" t="s">
        <v>157</v>
      </c>
      <c r="D69" s="1" t="s">
        <v>235</v>
      </c>
      <c r="E69" s="1" t="s">
        <v>186</v>
      </c>
      <c r="F69" s="1" t="s">
        <v>203</v>
      </c>
      <c r="G69" s="1" t="s">
        <v>236</v>
      </c>
      <c r="H69" s="1" t="s">
        <v>243</v>
      </c>
      <c r="I69" s="1" t="s">
        <v>173</v>
      </c>
      <c r="J69" s="1" t="s">
        <v>242</v>
      </c>
      <c r="K69" s="1" t="s">
        <v>242</v>
      </c>
      <c r="L69" s="1" t="s">
        <v>109</v>
      </c>
    </row>
    <row r="70" spans="1:12">
      <c r="A70" s="1" t="s">
        <v>218</v>
      </c>
      <c r="B70" s="1" t="s">
        <v>232</v>
      </c>
      <c r="C70" s="1" t="s">
        <v>214</v>
      </c>
      <c r="D70" s="1" t="s">
        <v>109</v>
      </c>
      <c r="E70" s="1" t="s">
        <v>165</v>
      </c>
      <c r="F70" s="1" t="s">
        <v>148</v>
      </c>
      <c r="G70" s="1" t="s">
        <v>212</v>
      </c>
      <c r="H70" s="1" t="s">
        <v>183</v>
      </c>
      <c r="I70" s="1" t="s">
        <v>183</v>
      </c>
      <c r="J70" s="1" t="s">
        <v>173</v>
      </c>
      <c r="K70" s="1" t="s">
        <v>203</v>
      </c>
      <c r="L70" s="1" t="s">
        <v>203</v>
      </c>
    </row>
    <row r="71" spans="1:12">
      <c r="A71" s="1" t="s">
        <v>228</v>
      </c>
      <c r="B71" s="1" t="s">
        <v>233</v>
      </c>
      <c r="C71" s="1" t="s">
        <v>221</v>
      </c>
      <c r="D71" s="1" t="s">
        <v>186</v>
      </c>
      <c r="E71" s="1" t="s">
        <v>43</v>
      </c>
      <c r="F71" s="1" t="s">
        <v>186</v>
      </c>
      <c r="G71" s="1" t="s">
        <v>243</v>
      </c>
      <c r="H71" s="1" t="s">
        <v>242</v>
      </c>
      <c r="I71" s="1" t="s">
        <v>137</v>
      </c>
      <c r="J71" s="1" t="s">
        <v>188</v>
      </c>
      <c r="K71" s="1" t="s">
        <v>173</v>
      </c>
      <c r="L71" s="1" t="s">
        <v>244</v>
      </c>
    </row>
    <row r="72" spans="1:12">
      <c r="A72" s="1" t="s">
        <v>229</v>
      </c>
      <c r="B72" s="1" t="s">
        <v>234</v>
      </c>
      <c r="C72" s="1" t="s">
        <v>203</v>
      </c>
      <c r="D72" s="1" t="s">
        <v>165</v>
      </c>
      <c r="E72" s="1" t="s">
        <v>235</v>
      </c>
      <c r="F72" s="1" t="s">
        <v>43</v>
      </c>
      <c r="G72" s="1" t="s">
        <v>51</v>
      </c>
      <c r="H72" s="1" t="s">
        <v>236</v>
      </c>
      <c r="I72" s="1" t="s">
        <v>242</v>
      </c>
      <c r="J72" s="1" t="s">
        <v>203</v>
      </c>
      <c r="K72" s="1" t="s">
        <v>250</v>
      </c>
      <c r="L72" s="1" t="s">
        <v>173</v>
      </c>
    </row>
    <row r="75" spans="1:12">
      <c r="A75" s="30">
        <v>2020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</row>
    <row r="76" spans="1:12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  <c r="F76" s="1" t="s">
        <v>5</v>
      </c>
      <c r="G76" s="1" t="s">
        <v>6</v>
      </c>
      <c r="H76" s="1" t="s">
        <v>7</v>
      </c>
      <c r="I76" s="1" t="s">
        <v>8</v>
      </c>
      <c r="J76" s="1" t="s">
        <v>9</v>
      </c>
      <c r="K76" s="1" t="s">
        <v>10</v>
      </c>
      <c r="L76" s="1" t="s">
        <v>11</v>
      </c>
    </row>
    <row r="77" spans="1:12">
      <c r="A77" s="1" t="s">
        <v>139</v>
      </c>
      <c r="B77" s="1" t="s">
        <v>139</v>
      </c>
      <c r="C77" s="1" t="s">
        <v>139</v>
      </c>
      <c r="D77" s="1" t="s">
        <v>137</v>
      </c>
      <c r="E77" s="1" t="s">
        <v>35</v>
      </c>
      <c r="F77" s="1" t="s">
        <v>35</v>
      </c>
      <c r="G77" s="1" t="s">
        <v>35</v>
      </c>
      <c r="H77" s="1" t="s">
        <v>35</v>
      </c>
      <c r="I77" s="1" t="s">
        <v>35</v>
      </c>
      <c r="J77" s="1" t="s">
        <v>35</v>
      </c>
      <c r="K77" s="1" t="s">
        <v>35</v>
      </c>
      <c r="L77" s="1" t="s">
        <v>35</v>
      </c>
    </row>
    <row r="78" spans="1:12">
      <c r="A78" s="1" t="s">
        <v>186</v>
      </c>
      <c r="B78" s="1" t="s">
        <v>118</v>
      </c>
      <c r="C78" s="1" t="s">
        <v>199</v>
      </c>
      <c r="D78" s="1" t="s">
        <v>35</v>
      </c>
      <c r="E78" s="1" t="s">
        <v>203</v>
      </c>
      <c r="F78" s="1" t="s">
        <v>203</v>
      </c>
      <c r="G78" s="1" t="s">
        <v>203</v>
      </c>
      <c r="H78" s="1" t="s">
        <v>203</v>
      </c>
      <c r="I78" s="1" t="s">
        <v>203</v>
      </c>
      <c r="J78" s="1" t="s">
        <v>209</v>
      </c>
      <c r="K78" s="1" t="s">
        <v>209</v>
      </c>
      <c r="L78" s="1" t="s">
        <v>209</v>
      </c>
    </row>
    <row r="79" spans="1:12">
      <c r="A79" s="1" t="s">
        <v>137</v>
      </c>
      <c r="B79" s="1" t="s">
        <v>198</v>
      </c>
      <c r="C79" s="1" t="s">
        <v>137</v>
      </c>
      <c r="D79" s="1" t="s">
        <v>203</v>
      </c>
      <c r="E79" s="1" t="s">
        <v>159</v>
      </c>
      <c r="F79" s="1" t="s">
        <v>159</v>
      </c>
      <c r="G79" s="1" t="s">
        <v>137</v>
      </c>
      <c r="H79" s="1" t="s">
        <v>137</v>
      </c>
      <c r="I79" s="1" t="s">
        <v>137</v>
      </c>
      <c r="J79" s="1" t="s">
        <v>203</v>
      </c>
      <c r="K79" s="1" t="s">
        <v>203</v>
      </c>
      <c r="L79" s="1" t="s">
        <v>137</v>
      </c>
    </row>
    <row r="80" spans="1:12">
      <c r="A80" s="1" t="s">
        <v>174</v>
      </c>
      <c r="B80" s="1" t="s">
        <v>137</v>
      </c>
      <c r="C80" s="1" t="s">
        <v>35</v>
      </c>
      <c r="D80" s="1" t="s">
        <v>139</v>
      </c>
      <c r="E80" s="1" t="s">
        <v>137</v>
      </c>
      <c r="F80" s="1" t="s">
        <v>137</v>
      </c>
      <c r="G80" s="1" t="s">
        <v>109</v>
      </c>
      <c r="H80" s="1" t="s">
        <v>109</v>
      </c>
      <c r="I80" s="1" t="s">
        <v>173</v>
      </c>
      <c r="J80" s="1" t="s">
        <v>173</v>
      </c>
      <c r="K80" s="1" t="s">
        <v>184</v>
      </c>
      <c r="L80" s="1" t="s">
        <v>203</v>
      </c>
    </row>
    <row r="81" spans="1:12">
      <c r="A81" s="1" t="s">
        <v>188</v>
      </c>
      <c r="B81" s="1" t="s">
        <v>186</v>
      </c>
      <c r="C81" s="1" t="s">
        <v>188</v>
      </c>
      <c r="D81" s="1" t="s">
        <v>109</v>
      </c>
      <c r="E81" s="1" t="s">
        <v>199</v>
      </c>
      <c r="F81" s="1" t="s">
        <v>109</v>
      </c>
      <c r="G81" s="1" t="s">
        <v>173</v>
      </c>
      <c r="H81" s="1" t="s">
        <v>173</v>
      </c>
      <c r="I81" s="1" t="s">
        <v>109</v>
      </c>
      <c r="J81" s="1" t="s">
        <v>137</v>
      </c>
      <c r="K81" s="1" t="s">
        <v>173</v>
      </c>
      <c r="L81" s="1" t="s">
        <v>173</v>
      </c>
    </row>
    <row r="82" spans="1:12">
      <c r="A82" s="1" t="s">
        <v>187</v>
      </c>
      <c r="B82" s="1" t="s">
        <v>61</v>
      </c>
      <c r="C82" s="1" t="s">
        <v>159</v>
      </c>
      <c r="D82" s="1" t="s">
        <v>159</v>
      </c>
      <c r="E82" s="1" t="s">
        <v>109</v>
      </c>
      <c r="F82" s="1" t="s">
        <v>199</v>
      </c>
      <c r="G82" s="1" t="s">
        <v>159</v>
      </c>
      <c r="H82" s="1" t="s">
        <v>159</v>
      </c>
      <c r="I82" s="1" t="s">
        <v>209</v>
      </c>
      <c r="J82" s="1" t="s">
        <v>109</v>
      </c>
      <c r="K82" s="1" t="s">
        <v>137</v>
      </c>
      <c r="L82" s="1" t="s">
        <v>184</v>
      </c>
    </row>
    <row r="83" spans="1:12">
      <c r="A83" s="1" t="s">
        <v>190</v>
      </c>
      <c r="B83" s="1" t="s">
        <v>188</v>
      </c>
      <c r="C83" s="1" t="s">
        <v>118</v>
      </c>
      <c r="D83" s="1" t="s">
        <v>199</v>
      </c>
      <c r="E83" s="1" t="s">
        <v>205</v>
      </c>
      <c r="F83" s="1" t="s">
        <v>173</v>
      </c>
      <c r="G83" s="1" t="s">
        <v>199</v>
      </c>
      <c r="H83" s="1" t="s">
        <v>209</v>
      </c>
      <c r="I83" s="1" t="s">
        <v>159</v>
      </c>
      <c r="J83" s="1" t="s">
        <v>184</v>
      </c>
      <c r="K83" s="1" t="s">
        <v>109</v>
      </c>
      <c r="L83" s="1" t="s">
        <v>109</v>
      </c>
    </row>
    <row r="84" spans="1:12">
      <c r="A84" s="1" t="s">
        <v>191</v>
      </c>
      <c r="B84" s="1" t="s">
        <v>199</v>
      </c>
      <c r="C84" s="1" t="s">
        <v>61</v>
      </c>
      <c r="D84" s="1" t="s">
        <v>188</v>
      </c>
      <c r="E84" s="1" t="s">
        <v>173</v>
      </c>
      <c r="F84" s="1" t="s">
        <v>205</v>
      </c>
      <c r="G84" s="1" t="s">
        <v>205</v>
      </c>
      <c r="H84" s="1" t="s">
        <v>184</v>
      </c>
      <c r="I84" s="1" t="s">
        <v>184</v>
      </c>
      <c r="J84" s="1" t="s">
        <v>159</v>
      </c>
      <c r="K84" s="1" t="s">
        <v>148</v>
      </c>
      <c r="L84" s="1" t="s">
        <v>213</v>
      </c>
    </row>
    <row r="85" spans="1:12">
      <c r="A85" s="1" t="s">
        <v>118</v>
      </c>
      <c r="B85" s="1" t="s">
        <v>184</v>
      </c>
      <c r="C85" s="1" t="s">
        <v>198</v>
      </c>
      <c r="D85" s="1" t="s">
        <v>173</v>
      </c>
      <c r="E85" s="1" t="s">
        <v>181</v>
      </c>
      <c r="F85" s="1" t="s">
        <v>184</v>
      </c>
      <c r="G85" s="1" t="s">
        <v>209</v>
      </c>
      <c r="H85" s="1" t="s">
        <v>199</v>
      </c>
      <c r="I85" s="1" t="s">
        <v>199</v>
      </c>
      <c r="J85" s="1" t="s">
        <v>51</v>
      </c>
      <c r="K85" s="1" t="s">
        <v>159</v>
      </c>
      <c r="L85" s="1" t="s">
        <v>148</v>
      </c>
    </row>
    <row r="86" spans="1:12">
      <c r="A86" s="1" t="s">
        <v>61</v>
      </c>
      <c r="B86" s="1" t="s">
        <v>159</v>
      </c>
      <c r="C86" s="1" t="s">
        <v>174</v>
      </c>
      <c r="D86" s="1" t="s">
        <v>174</v>
      </c>
      <c r="E86" s="1" t="s">
        <v>139</v>
      </c>
      <c r="F86" s="1" t="s">
        <v>174</v>
      </c>
      <c r="G86" s="1" t="s">
        <v>184</v>
      </c>
      <c r="H86" s="1" t="s">
        <v>205</v>
      </c>
      <c r="I86" s="1" t="s">
        <v>148</v>
      </c>
      <c r="J86" s="1" t="s">
        <v>148</v>
      </c>
      <c r="K86" s="1" t="s">
        <v>51</v>
      </c>
      <c r="L86" s="1" t="s">
        <v>159</v>
      </c>
    </row>
    <row r="87" spans="1:12">
      <c r="A87" s="1" t="s">
        <v>192</v>
      </c>
      <c r="B87" s="1" t="s">
        <v>174</v>
      </c>
      <c r="C87" s="1" t="s">
        <v>184</v>
      </c>
      <c r="D87" s="1" t="s">
        <v>205</v>
      </c>
      <c r="E87" s="1" t="s">
        <v>174</v>
      </c>
      <c r="F87" s="1" t="s">
        <v>181</v>
      </c>
      <c r="G87" s="1" t="s">
        <v>174</v>
      </c>
      <c r="H87" s="1" t="s">
        <v>51</v>
      </c>
      <c r="I87" s="1" t="s">
        <v>51</v>
      </c>
      <c r="J87" s="1" t="s">
        <v>199</v>
      </c>
      <c r="K87" s="1" t="s">
        <v>213</v>
      </c>
      <c r="L87" s="1" t="s">
        <v>51</v>
      </c>
    </row>
    <row r="88" spans="1:12">
      <c r="A88" s="1" t="s">
        <v>133</v>
      </c>
      <c r="B88" s="1" t="s">
        <v>18</v>
      </c>
      <c r="C88" s="1" t="s">
        <v>186</v>
      </c>
      <c r="D88" s="1" t="s">
        <v>94</v>
      </c>
      <c r="E88" s="1" t="s">
        <v>54</v>
      </c>
      <c r="F88" s="1" t="s">
        <v>139</v>
      </c>
      <c r="G88" s="1" t="s">
        <v>200</v>
      </c>
      <c r="H88" s="1" t="s">
        <v>148</v>
      </c>
      <c r="I88" s="1" t="s">
        <v>205</v>
      </c>
      <c r="J88" s="1" t="s">
        <v>213</v>
      </c>
      <c r="K88" s="1" t="s">
        <v>199</v>
      </c>
      <c r="L88" s="1" t="s">
        <v>165</v>
      </c>
    </row>
    <row r="89" spans="1:12">
      <c r="A89" s="1" t="s">
        <v>193</v>
      </c>
      <c r="B89" s="1" t="s">
        <v>183</v>
      </c>
      <c r="C89" s="1" t="s">
        <v>183</v>
      </c>
      <c r="D89" s="1" t="s">
        <v>118</v>
      </c>
      <c r="E89" s="1" t="s">
        <v>184</v>
      </c>
      <c r="F89" s="1" t="s">
        <v>51</v>
      </c>
      <c r="G89" s="1" t="s">
        <v>181</v>
      </c>
      <c r="H89" s="1" t="s">
        <v>200</v>
      </c>
      <c r="I89" s="1" t="s">
        <v>181</v>
      </c>
      <c r="J89" s="1" t="s">
        <v>205</v>
      </c>
      <c r="K89" s="1" t="s">
        <v>65</v>
      </c>
      <c r="L89" s="1" t="s">
        <v>199</v>
      </c>
    </row>
    <row r="90" spans="1:12">
      <c r="A90" s="1" t="s">
        <v>159</v>
      </c>
      <c r="B90" s="1" t="s">
        <v>133</v>
      </c>
      <c r="C90" s="1" t="s">
        <v>201</v>
      </c>
      <c r="D90" s="1" t="s">
        <v>198</v>
      </c>
      <c r="E90" s="1" t="s">
        <v>188</v>
      </c>
      <c r="F90" s="1" t="s">
        <v>54</v>
      </c>
      <c r="G90" s="1" t="s">
        <v>51</v>
      </c>
      <c r="H90" s="1" t="s">
        <v>211</v>
      </c>
      <c r="I90" s="1" t="s">
        <v>200</v>
      </c>
      <c r="J90" s="1" t="s">
        <v>181</v>
      </c>
      <c r="K90" s="1" t="s">
        <v>200</v>
      </c>
      <c r="L90" s="1" t="s">
        <v>65</v>
      </c>
    </row>
    <row r="91" spans="1:12">
      <c r="A91" s="1" t="s">
        <v>58</v>
      </c>
      <c r="B91" s="1" t="s">
        <v>172</v>
      </c>
      <c r="C91" s="1" t="s">
        <v>109</v>
      </c>
      <c r="D91" s="1" t="s">
        <v>133</v>
      </c>
      <c r="E91" s="1" t="s">
        <v>51</v>
      </c>
      <c r="F91" s="1" t="s">
        <v>200</v>
      </c>
      <c r="G91" s="1" t="s">
        <v>139</v>
      </c>
      <c r="H91" s="1" t="s">
        <v>181</v>
      </c>
      <c r="I91" s="1" t="s">
        <v>213</v>
      </c>
      <c r="J91" s="1" t="s">
        <v>19</v>
      </c>
      <c r="K91" s="1" t="s">
        <v>165</v>
      </c>
      <c r="L91" s="1" t="s">
        <v>200</v>
      </c>
    </row>
    <row r="92" spans="1:12">
      <c r="A92" s="1" t="s">
        <v>194</v>
      </c>
      <c r="B92" s="1" t="s">
        <v>187</v>
      </c>
      <c r="C92" s="1" t="s">
        <v>202</v>
      </c>
      <c r="D92" s="1" t="s">
        <v>201</v>
      </c>
      <c r="E92" s="1" t="s">
        <v>200</v>
      </c>
      <c r="F92" s="1" t="s">
        <v>198</v>
      </c>
      <c r="G92" s="1" t="s">
        <v>188</v>
      </c>
      <c r="H92" s="1" t="s">
        <v>188</v>
      </c>
      <c r="I92" s="1" t="s">
        <v>165</v>
      </c>
      <c r="J92" s="1" t="s">
        <v>200</v>
      </c>
      <c r="K92" s="1" t="s">
        <v>205</v>
      </c>
      <c r="L92" s="1" t="s">
        <v>205</v>
      </c>
    </row>
    <row r="93" spans="1:12">
      <c r="A93" s="1" t="s">
        <v>195</v>
      </c>
      <c r="B93" s="1" t="s">
        <v>191</v>
      </c>
      <c r="C93" s="1" t="s">
        <v>203</v>
      </c>
      <c r="D93" s="1" t="s">
        <v>61</v>
      </c>
      <c r="E93" s="1" t="s">
        <v>208</v>
      </c>
      <c r="F93" s="1" t="s">
        <v>188</v>
      </c>
      <c r="G93" s="1" t="s">
        <v>54</v>
      </c>
      <c r="H93" s="1" t="s">
        <v>174</v>
      </c>
      <c r="I93" s="1" t="s">
        <v>211</v>
      </c>
      <c r="J93" s="1" t="s">
        <v>65</v>
      </c>
      <c r="K93" s="1" t="s">
        <v>19</v>
      </c>
      <c r="L93" s="1" t="s">
        <v>188</v>
      </c>
    </row>
    <row r="94" spans="1:12">
      <c r="A94" s="1" t="s">
        <v>109</v>
      </c>
      <c r="B94" s="1" t="s">
        <v>200</v>
      </c>
      <c r="C94" s="1" t="s">
        <v>204</v>
      </c>
      <c r="D94" s="1" t="s">
        <v>51</v>
      </c>
      <c r="E94" s="1" t="s">
        <v>133</v>
      </c>
      <c r="F94" s="1" t="s">
        <v>195</v>
      </c>
      <c r="G94" s="1" t="s">
        <v>198</v>
      </c>
      <c r="H94" s="1" t="s">
        <v>54</v>
      </c>
      <c r="I94" s="1" t="s">
        <v>174</v>
      </c>
      <c r="J94" s="1" t="s">
        <v>165</v>
      </c>
      <c r="K94" s="1" t="s">
        <v>181</v>
      </c>
      <c r="L94" s="1" t="s">
        <v>19</v>
      </c>
    </row>
    <row r="95" spans="1:12">
      <c r="A95" s="1" t="s">
        <v>196</v>
      </c>
      <c r="B95" s="1" t="s">
        <v>192</v>
      </c>
      <c r="C95" s="1" t="s">
        <v>18</v>
      </c>
      <c r="D95" s="1" t="s">
        <v>184</v>
      </c>
      <c r="E95" s="1" t="s">
        <v>58</v>
      </c>
      <c r="F95" s="1" t="s">
        <v>133</v>
      </c>
      <c r="G95" s="1" t="s">
        <v>94</v>
      </c>
      <c r="H95" s="1" t="s">
        <v>212</v>
      </c>
      <c r="I95" s="1" t="s">
        <v>188</v>
      </c>
      <c r="J95" s="1" t="s">
        <v>54</v>
      </c>
      <c r="K95" s="1" t="s">
        <v>212</v>
      </c>
      <c r="L95" s="1" t="s">
        <v>181</v>
      </c>
    </row>
    <row r="96" spans="1:12">
      <c r="A96" s="1" t="s">
        <v>83</v>
      </c>
      <c r="B96" s="1" t="s">
        <v>58</v>
      </c>
      <c r="C96" s="1" t="s">
        <v>94</v>
      </c>
      <c r="D96" s="1" t="s">
        <v>207</v>
      </c>
      <c r="E96" s="1" t="s">
        <v>18</v>
      </c>
      <c r="F96" s="1" t="s">
        <v>58</v>
      </c>
      <c r="G96" s="1" t="s">
        <v>148</v>
      </c>
      <c r="H96" s="1" t="s">
        <v>139</v>
      </c>
      <c r="I96" s="1" t="s">
        <v>19</v>
      </c>
      <c r="J96" s="1" t="s">
        <v>212</v>
      </c>
      <c r="K96" s="1" t="s">
        <v>188</v>
      </c>
      <c r="L96" s="1" t="s">
        <v>210</v>
      </c>
    </row>
    <row r="98" spans="1:12">
      <c r="A98" s="30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</row>
    <row r="99" spans="1:12">
      <c r="A99" s="1">
        <v>2019</v>
      </c>
    </row>
    <row r="100" spans="1:12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  <c r="H100" s="1" t="s">
        <v>7</v>
      </c>
      <c r="I100" s="1" t="s">
        <v>8</v>
      </c>
      <c r="J100" s="1" t="s">
        <v>9</v>
      </c>
      <c r="K100" s="1" t="s">
        <v>10</v>
      </c>
      <c r="L100" s="1" t="s">
        <v>11</v>
      </c>
    </row>
    <row r="101" spans="1:12">
      <c r="A101" s="1" t="s">
        <v>138</v>
      </c>
      <c r="B101" s="1" t="s">
        <v>137</v>
      </c>
      <c r="C101" s="1" t="s">
        <v>139</v>
      </c>
      <c r="D101" s="1" t="s">
        <v>137</v>
      </c>
      <c r="E101" s="1" t="s">
        <v>176</v>
      </c>
      <c r="F101" s="1" t="s">
        <v>94</v>
      </c>
      <c r="G101" s="1" t="s">
        <v>117</v>
      </c>
      <c r="H101" s="1" t="s">
        <v>117</v>
      </c>
      <c r="I101" s="1" t="s">
        <v>117</v>
      </c>
      <c r="J101" s="1" t="s">
        <v>117</v>
      </c>
      <c r="K101" s="1" t="s">
        <v>117</v>
      </c>
      <c r="L101" s="1" t="s">
        <v>117</v>
      </c>
    </row>
    <row r="102" spans="1:12">
      <c r="A102" s="1" t="s">
        <v>139</v>
      </c>
      <c r="B102" s="1" t="s">
        <v>138</v>
      </c>
      <c r="C102" s="1" t="s">
        <v>53</v>
      </c>
      <c r="D102" s="1" t="s">
        <v>104</v>
      </c>
      <c r="E102" s="1" t="s">
        <v>94</v>
      </c>
      <c r="F102" s="1" t="s">
        <v>164</v>
      </c>
      <c r="G102" s="1" t="s">
        <v>35</v>
      </c>
      <c r="H102" s="1" t="s">
        <v>35</v>
      </c>
      <c r="I102" s="1" t="s">
        <v>35</v>
      </c>
      <c r="J102" s="1" t="s">
        <v>159</v>
      </c>
      <c r="K102" s="1" t="s">
        <v>159</v>
      </c>
      <c r="L102" s="1" t="s">
        <v>159</v>
      </c>
    </row>
    <row r="103" spans="1:12">
      <c r="A103" s="1" t="s">
        <v>140</v>
      </c>
      <c r="B103" s="1" t="s">
        <v>139</v>
      </c>
      <c r="C103" s="1" t="s">
        <v>137</v>
      </c>
      <c r="D103" s="1" t="s">
        <v>139</v>
      </c>
      <c r="E103" s="1" t="s">
        <v>137</v>
      </c>
      <c r="F103" s="1" t="s">
        <v>117</v>
      </c>
      <c r="G103" s="1" t="s">
        <v>94</v>
      </c>
      <c r="H103" s="1" t="s">
        <v>159</v>
      </c>
      <c r="I103" s="1" t="s">
        <v>159</v>
      </c>
      <c r="J103" s="1" t="s">
        <v>35</v>
      </c>
      <c r="K103" s="1" t="s">
        <v>35</v>
      </c>
      <c r="L103" s="1" t="s">
        <v>35</v>
      </c>
    </row>
    <row r="104" spans="1:12">
      <c r="A104" s="1" t="s">
        <v>120</v>
      </c>
      <c r="B104" s="1" t="s">
        <v>140</v>
      </c>
      <c r="C104" s="1" t="s">
        <v>138</v>
      </c>
      <c r="D104" s="1" t="s">
        <v>53</v>
      </c>
      <c r="E104" s="1" t="s">
        <v>104</v>
      </c>
      <c r="F104" s="1" t="s">
        <v>118</v>
      </c>
      <c r="G104" s="1" t="s">
        <v>118</v>
      </c>
      <c r="H104" s="1" t="s">
        <v>118</v>
      </c>
      <c r="I104" s="1" t="s">
        <v>94</v>
      </c>
      <c r="J104" s="1" t="s">
        <v>118</v>
      </c>
      <c r="K104" s="1" t="s">
        <v>118</v>
      </c>
      <c r="L104" s="1" t="s">
        <v>118</v>
      </c>
    </row>
    <row r="105" spans="1:12">
      <c r="A105" s="1" t="s">
        <v>77</v>
      </c>
      <c r="B105" s="1" t="s">
        <v>53</v>
      </c>
      <c r="C105" s="1" t="s">
        <v>160</v>
      </c>
      <c r="D105" s="1" t="s">
        <v>35</v>
      </c>
      <c r="E105" s="1" t="s">
        <v>35</v>
      </c>
      <c r="F105" s="1" t="s">
        <v>35</v>
      </c>
      <c r="G105" s="1" t="s">
        <v>164</v>
      </c>
      <c r="H105" s="1" t="s">
        <v>94</v>
      </c>
      <c r="I105" s="1" t="s">
        <v>118</v>
      </c>
      <c r="J105" s="1" t="s">
        <v>94</v>
      </c>
      <c r="K105" s="1" t="s">
        <v>104</v>
      </c>
      <c r="L105" s="1" t="s">
        <v>104</v>
      </c>
    </row>
    <row r="106" spans="1:12">
      <c r="A106" s="1" t="s">
        <v>141</v>
      </c>
      <c r="B106" s="1" t="s">
        <v>142</v>
      </c>
      <c r="C106" s="1" t="s">
        <v>77</v>
      </c>
      <c r="D106" s="1" t="s">
        <v>138</v>
      </c>
      <c r="E106" s="1" t="s">
        <v>164</v>
      </c>
      <c r="F106" s="1" t="s">
        <v>176</v>
      </c>
      <c r="G106" s="1" t="s">
        <v>104</v>
      </c>
      <c r="H106" s="1" t="s">
        <v>104</v>
      </c>
      <c r="I106" s="1" t="s">
        <v>164</v>
      </c>
      <c r="J106" s="1" t="s">
        <v>104</v>
      </c>
      <c r="K106" s="1" t="s">
        <v>94</v>
      </c>
      <c r="L106" s="1" t="s">
        <v>94</v>
      </c>
    </row>
    <row r="107" spans="1:12">
      <c r="A107" s="1" t="s">
        <v>142</v>
      </c>
      <c r="B107" s="1" t="s">
        <v>104</v>
      </c>
      <c r="C107" s="1" t="s">
        <v>104</v>
      </c>
      <c r="D107" s="1" t="s">
        <v>154</v>
      </c>
      <c r="E107" s="1" t="s">
        <v>118</v>
      </c>
      <c r="F107" s="1" t="s">
        <v>51</v>
      </c>
      <c r="G107" s="1" t="s">
        <v>51</v>
      </c>
      <c r="H107" s="1" t="s">
        <v>164</v>
      </c>
      <c r="I107" s="1" t="s">
        <v>104</v>
      </c>
      <c r="J107" s="1" t="s">
        <v>164</v>
      </c>
      <c r="K107" s="1" t="s">
        <v>164</v>
      </c>
      <c r="L107" s="1" t="s">
        <v>164</v>
      </c>
    </row>
    <row r="108" spans="1:12">
      <c r="A108" s="1" t="s">
        <v>143</v>
      </c>
      <c r="B108" s="1" t="s">
        <v>154</v>
      </c>
      <c r="C108" s="1" t="s">
        <v>35</v>
      </c>
      <c r="D108" s="1" t="s">
        <v>166</v>
      </c>
      <c r="E108" s="1" t="s">
        <v>65</v>
      </c>
      <c r="F108" s="1" t="s">
        <v>137</v>
      </c>
      <c r="G108" s="1" t="s">
        <v>159</v>
      </c>
      <c r="H108" s="1" t="s">
        <v>137</v>
      </c>
      <c r="I108" s="1" t="s">
        <v>137</v>
      </c>
      <c r="J108" s="1" t="s">
        <v>137</v>
      </c>
      <c r="K108" s="1" t="s">
        <v>139</v>
      </c>
      <c r="L108" s="1" t="s">
        <v>139</v>
      </c>
    </row>
    <row r="109" spans="1:12">
      <c r="A109" s="1" t="s">
        <v>53</v>
      </c>
      <c r="B109" s="1" t="s">
        <v>77</v>
      </c>
      <c r="C109" s="1" t="s">
        <v>159</v>
      </c>
      <c r="D109" s="1" t="s">
        <v>94</v>
      </c>
      <c r="E109" s="1" t="s">
        <v>177</v>
      </c>
      <c r="F109" s="1" t="s">
        <v>104</v>
      </c>
      <c r="G109" s="1" t="s">
        <v>137</v>
      </c>
      <c r="H109" s="1" t="s">
        <v>51</v>
      </c>
      <c r="I109" s="1" t="s">
        <v>51</v>
      </c>
      <c r="J109" s="1" t="s">
        <v>139</v>
      </c>
      <c r="K109" s="1" t="s">
        <v>181</v>
      </c>
      <c r="L109" s="1" t="s">
        <v>137</v>
      </c>
    </row>
    <row r="110" spans="1:12">
      <c r="A110" s="1" t="s">
        <v>144</v>
      </c>
      <c r="B110" s="1" t="s">
        <v>155</v>
      </c>
      <c r="C110" s="1" t="s">
        <v>155</v>
      </c>
      <c r="D110" s="1" t="s">
        <v>99</v>
      </c>
      <c r="E110" s="1" t="s">
        <v>53</v>
      </c>
      <c r="F110" s="1" t="s">
        <v>180</v>
      </c>
      <c r="G110" s="1" t="s">
        <v>176</v>
      </c>
      <c r="H110" s="1" t="s">
        <v>99</v>
      </c>
      <c r="I110" s="1" t="s">
        <v>174</v>
      </c>
      <c r="J110" s="1" t="s">
        <v>174</v>
      </c>
      <c r="K110" s="1" t="s">
        <v>137</v>
      </c>
      <c r="L110" s="1" t="s">
        <v>174</v>
      </c>
    </row>
    <row r="111" spans="1:12">
      <c r="A111" s="1" t="s">
        <v>145</v>
      </c>
      <c r="B111" s="1" t="s">
        <v>156</v>
      </c>
      <c r="C111" s="1" t="s">
        <v>140</v>
      </c>
      <c r="D111" s="1" t="s">
        <v>173</v>
      </c>
      <c r="E111" s="1" t="s">
        <v>178</v>
      </c>
      <c r="F111" s="1" t="s">
        <v>65</v>
      </c>
      <c r="G111" s="1" t="s">
        <v>174</v>
      </c>
      <c r="H111" s="1" t="s">
        <v>174</v>
      </c>
      <c r="I111" s="1" t="s">
        <v>99</v>
      </c>
      <c r="J111" s="1" t="s">
        <v>181</v>
      </c>
      <c r="K111" s="1" t="s">
        <v>99</v>
      </c>
      <c r="L111" s="1" t="s">
        <v>181</v>
      </c>
    </row>
    <row r="112" spans="1:12">
      <c r="A112" s="1" t="s">
        <v>146</v>
      </c>
      <c r="B112" s="1" t="s">
        <v>157</v>
      </c>
      <c r="C112" s="1" t="s">
        <v>154</v>
      </c>
      <c r="D112" s="1" t="s">
        <v>164</v>
      </c>
      <c r="E112" s="1" t="s">
        <v>139</v>
      </c>
      <c r="F112" s="1" t="s">
        <v>99</v>
      </c>
      <c r="G112" s="1" t="s">
        <v>65</v>
      </c>
      <c r="H112" s="1" t="s">
        <v>148</v>
      </c>
      <c r="I112" s="1" t="s">
        <v>109</v>
      </c>
      <c r="J112" s="1" t="s">
        <v>99</v>
      </c>
      <c r="K112" s="1" t="s">
        <v>174</v>
      </c>
      <c r="L112" s="1" t="s">
        <v>51</v>
      </c>
    </row>
    <row r="113" spans="1:12">
      <c r="A113" s="1" t="s">
        <v>147</v>
      </c>
      <c r="B113" s="1" t="s">
        <v>158</v>
      </c>
      <c r="C113" s="1" t="s">
        <v>142</v>
      </c>
      <c r="D113" s="1" t="s">
        <v>153</v>
      </c>
      <c r="E113" s="1" t="s">
        <v>179</v>
      </c>
      <c r="F113" s="1" t="s">
        <v>174</v>
      </c>
      <c r="G113" s="1" t="s">
        <v>109</v>
      </c>
      <c r="H113" s="1" t="s">
        <v>181</v>
      </c>
      <c r="I113" s="1" t="s">
        <v>148</v>
      </c>
      <c r="J113" s="1" t="s">
        <v>51</v>
      </c>
      <c r="K113" s="1" t="s">
        <v>109</v>
      </c>
      <c r="L113" s="1" t="s">
        <v>99</v>
      </c>
    </row>
    <row r="114" spans="1:12">
      <c r="A114" s="1" t="s">
        <v>148</v>
      </c>
      <c r="B114" s="1" t="s">
        <v>153</v>
      </c>
      <c r="C114" s="1" t="s">
        <v>156</v>
      </c>
      <c r="D114" s="1" t="s">
        <v>142</v>
      </c>
      <c r="E114" s="1" t="s">
        <v>109</v>
      </c>
      <c r="F114" s="1" t="s">
        <v>109</v>
      </c>
      <c r="G114" s="1" t="s">
        <v>180</v>
      </c>
      <c r="H114" s="1" t="s">
        <v>109</v>
      </c>
      <c r="I114" s="1" t="s">
        <v>181</v>
      </c>
      <c r="J114" s="1" t="s">
        <v>109</v>
      </c>
      <c r="K114" s="1" t="s">
        <v>51</v>
      </c>
      <c r="L114" s="1" t="s">
        <v>109</v>
      </c>
    </row>
    <row r="115" spans="1:12">
      <c r="A115" s="1" t="s">
        <v>110</v>
      </c>
      <c r="B115" s="1" t="s">
        <v>160</v>
      </c>
      <c r="C115" s="1" t="s">
        <v>158</v>
      </c>
      <c r="D115" s="1" t="s">
        <v>160</v>
      </c>
      <c r="E115" s="1" t="s">
        <v>166</v>
      </c>
      <c r="F115" s="1" t="s">
        <v>177</v>
      </c>
      <c r="G115" s="1" t="s">
        <v>99</v>
      </c>
      <c r="H115" s="1" t="s">
        <v>176</v>
      </c>
      <c r="I115" s="1" t="s">
        <v>65</v>
      </c>
      <c r="J115" s="1" t="s">
        <v>148</v>
      </c>
      <c r="K115" s="1" t="s">
        <v>148</v>
      </c>
      <c r="L115" s="1" t="s">
        <v>148</v>
      </c>
    </row>
    <row r="116" spans="1:12">
      <c r="A116" s="1" t="s">
        <v>149</v>
      </c>
      <c r="B116" s="1" t="s">
        <v>161</v>
      </c>
      <c r="C116" s="1" t="s">
        <v>153</v>
      </c>
      <c r="D116" s="1" t="s">
        <v>65</v>
      </c>
      <c r="E116" s="1" t="s">
        <v>154</v>
      </c>
      <c r="F116" s="1" t="s">
        <v>139</v>
      </c>
      <c r="G116" s="1" t="s">
        <v>181</v>
      </c>
      <c r="H116" s="1" t="s">
        <v>65</v>
      </c>
      <c r="I116" s="1" t="s">
        <v>139</v>
      </c>
      <c r="J116" s="1" t="s">
        <v>65</v>
      </c>
      <c r="K116" s="1" t="s">
        <v>65</v>
      </c>
      <c r="L116" s="1" t="s">
        <v>65</v>
      </c>
    </row>
    <row r="117" spans="1:12">
      <c r="A117" s="1" t="s">
        <v>150</v>
      </c>
      <c r="B117" s="1" t="s">
        <v>120</v>
      </c>
      <c r="C117" s="1" t="s">
        <v>164</v>
      </c>
      <c r="D117" s="1" t="s">
        <v>159</v>
      </c>
      <c r="E117" s="1" t="s">
        <v>180</v>
      </c>
      <c r="F117" s="1" t="s">
        <v>53</v>
      </c>
      <c r="G117" s="1" t="s">
        <v>182</v>
      </c>
      <c r="H117" s="1" t="s">
        <v>184</v>
      </c>
      <c r="I117" s="1" t="s">
        <v>183</v>
      </c>
      <c r="J117" s="1" t="s">
        <v>183</v>
      </c>
      <c r="K117" s="1" t="s">
        <v>183</v>
      </c>
      <c r="L117" s="1" t="s">
        <v>183</v>
      </c>
    </row>
    <row r="118" spans="1:12">
      <c r="A118" s="1" t="s">
        <v>151</v>
      </c>
      <c r="B118" s="1" t="s">
        <v>143</v>
      </c>
      <c r="C118" s="1" t="s">
        <v>165</v>
      </c>
      <c r="D118" s="1" t="s">
        <v>174</v>
      </c>
      <c r="E118" s="1" t="s">
        <v>138</v>
      </c>
      <c r="F118" s="1" t="s">
        <v>178</v>
      </c>
      <c r="G118" s="1" t="s">
        <v>148</v>
      </c>
      <c r="H118" s="1" t="s">
        <v>183</v>
      </c>
      <c r="I118" s="1" t="s">
        <v>176</v>
      </c>
      <c r="J118" s="1" t="s">
        <v>19</v>
      </c>
      <c r="K118" s="1" t="s">
        <v>19</v>
      </c>
      <c r="L118" s="1" t="s">
        <v>19</v>
      </c>
    </row>
    <row r="119" spans="1:12">
      <c r="A119" s="1" t="s">
        <v>152</v>
      </c>
      <c r="B119" s="1" t="s">
        <v>162</v>
      </c>
      <c r="C119" s="1" t="s">
        <v>166</v>
      </c>
      <c r="D119" s="1" t="s">
        <v>77</v>
      </c>
      <c r="E119" s="1" t="s">
        <v>165</v>
      </c>
      <c r="F119" s="1" t="s">
        <v>179</v>
      </c>
      <c r="G119" s="1" t="s">
        <v>177</v>
      </c>
      <c r="H119" s="1" t="s">
        <v>177</v>
      </c>
      <c r="I119" s="1" t="s">
        <v>184</v>
      </c>
      <c r="J119" s="1" t="s">
        <v>176</v>
      </c>
      <c r="K119" s="1" t="s">
        <v>18</v>
      </c>
      <c r="L119" s="1" t="s">
        <v>18</v>
      </c>
    </row>
    <row r="120" spans="1:12">
      <c r="A120" s="1" t="s">
        <v>52</v>
      </c>
      <c r="B120" s="1" t="s">
        <v>159</v>
      </c>
      <c r="C120" s="1" t="s">
        <v>157</v>
      </c>
      <c r="D120" s="1" t="s">
        <v>175</v>
      </c>
      <c r="E120" s="1" t="s">
        <v>99</v>
      </c>
      <c r="F120" s="1" t="s">
        <v>154</v>
      </c>
      <c r="G120" s="1" t="s">
        <v>183</v>
      </c>
      <c r="H120" s="1" t="s">
        <v>139</v>
      </c>
      <c r="I120" s="1" t="s">
        <v>46</v>
      </c>
      <c r="J120" s="1" t="s">
        <v>18</v>
      </c>
      <c r="K120" s="1" t="s">
        <v>176</v>
      </c>
      <c r="L120" s="1" t="s">
        <v>176</v>
      </c>
    </row>
    <row r="121" spans="1:12">
      <c r="A121" s="30"/>
    </row>
    <row r="122" spans="1:12">
      <c r="A122" s="1">
        <v>2018</v>
      </c>
    </row>
    <row r="123" spans="1:12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  <c r="G123" s="1" t="s">
        <v>6</v>
      </c>
      <c r="H123" s="1" t="s">
        <v>7</v>
      </c>
      <c r="I123" s="1" t="s">
        <v>8</v>
      </c>
      <c r="J123" s="1" t="s">
        <v>9</v>
      </c>
      <c r="K123" s="1" t="s">
        <v>10</v>
      </c>
      <c r="L123" s="1" t="s">
        <v>11</v>
      </c>
    </row>
    <row r="124" spans="1:12">
      <c r="A124" s="1" t="s">
        <v>90</v>
      </c>
      <c r="B124" s="1" t="s">
        <v>91</v>
      </c>
      <c r="C124" s="1" t="s">
        <v>91</v>
      </c>
      <c r="D124" s="1" t="s">
        <v>104</v>
      </c>
      <c r="E124" s="1" t="s">
        <v>104</v>
      </c>
      <c r="F124" s="1" t="s">
        <v>104</v>
      </c>
      <c r="G124" s="1" t="s">
        <v>104</v>
      </c>
      <c r="H124" s="1" t="s">
        <v>104</v>
      </c>
      <c r="I124" s="1" t="s">
        <v>104</v>
      </c>
      <c r="J124" s="1" t="s">
        <v>104</v>
      </c>
      <c r="K124" s="1" t="s">
        <v>104</v>
      </c>
      <c r="L124" s="1" t="s">
        <v>104</v>
      </c>
    </row>
    <row r="125" spans="1:12">
      <c r="A125" s="1" t="s">
        <v>91</v>
      </c>
      <c r="B125" s="1" t="s">
        <v>97</v>
      </c>
      <c r="C125" s="1" t="s">
        <v>118</v>
      </c>
      <c r="D125" s="1" t="s">
        <v>118</v>
      </c>
      <c r="E125" s="1" t="s">
        <v>118</v>
      </c>
      <c r="F125" s="1" t="s">
        <v>51</v>
      </c>
      <c r="G125" s="1" t="s">
        <v>31</v>
      </c>
      <c r="H125" s="1" t="s">
        <v>31</v>
      </c>
      <c r="I125" s="1" t="s">
        <v>118</v>
      </c>
      <c r="J125" s="1" t="s">
        <v>19</v>
      </c>
      <c r="K125" s="1" t="s">
        <v>118</v>
      </c>
      <c r="L125" s="1" t="s">
        <v>118</v>
      </c>
    </row>
    <row r="126" spans="1:12">
      <c r="A126" s="1" t="s">
        <v>51</v>
      </c>
      <c r="B126" s="1" t="s">
        <v>94</v>
      </c>
      <c r="C126" s="1" t="s">
        <v>104</v>
      </c>
      <c r="D126" s="1" t="s">
        <v>119</v>
      </c>
      <c r="E126" s="1" t="s">
        <v>19</v>
      </c>
      <c r="F126" s="1" t="s">
        <v>31</v>
      </c>
      <c r="G126" s="1" t="s">
        <v>19</v>
      </c>
      <c r="H126" s="1" t="s">
        <v>118</v>
      </c>
      <c r="I126" s="1" t="s">
        <v>19</v>
      </c>
      <c r="J126" s="1" t="s">
        <v>31</v>
      </c>
      <c r="K126" s="1" t="s">
        <v>19</v>
      </c>
      <c r="L126" s="1" t="s">
        <v>19</v>
      </c>
    </row>
    <row r="127" spans="1:12">
      <c r="A127" s="1" t="s">
        <v>92</v>
      </c>
      <c r="B127" s="1" t="s">
        <v>92</v>
      </c>
      <c r="C127" s="1" t="s">
        <v>73</v>
      </c>
      <c r="D127" s="1" t="s">
        <v>91</v>
      </c>
      <c r="E127" s="1" t="s">
        <v>51</v>
      </c>
      <c r="F127" s="1" t="s">
        <v>19</v>
      </c>
      <c r="G127" s="1" t="s">
        <v>118</v>
      </c>
      <c r="H127" s="1" t="s">
        <v>19</v>
      </c>
      <c r="I127" s="1" t="s">
        <v>31</v>
      </c>
      <c r="J127" s="1" t="s">
        <v>118</v>
      </c>
      <c r="K127" s="1" t="s">
        <v>31</v>
      </c>
      <c r="L127" s="1" t="s">
        <v>31</v>
      </c>
    </row>
    <row r="128" spans="1:12">
      <c r="A128" s="1" t="s">
        <v>73</v>
      </c>
      <c r="B128" s="1" t="s">
        <v>68</v>
      </c>
      <c r="C128" s="1" t="s">
        <v>94</v>
      </c>
      <c r="D128" s="1" t="s">
        <v>123</v>
      </c>
      <c r="E128" s="1" t="s">
        <v>119</v>
      </c>
      <c r="F128" s="1" t="s">
        <v>118</v>
      </c>
      <c r="G128" s="1" t="s">
        <v>51</v>
      </c>
      <c r="H128" s="1" t="s">
        <v>51</v>
      </c>
      <c r="I128" s="1" t="s">
        <v>51</v>
      </c>
      <c r="J128" s="1" t="s">
        <v>51</v>
      </c>
      <c r="K128" s="1" t="s">
        <v>94</v>
      </c>
      <c r="L128" s="1" t="s">
        <v>94</v>
      </c>
    </row>
    <row r="129" spans="1:12">
      <c r="A129" s="1" t="s">
        <v>93</v>
      </c>
      <c r="B129" s="1" t="s">
        <v>110</v>
      </c>
      <c r="C129" s="1" t="s">
        <v>119</v>
      </c>
      <c r="D129" s="1" t="s">
        <v>19</v>
      </c>
      <c r="E129" s="1" t="s">
        <v>123</v>
      </c>
      <c r="F129" s="1" t="s">
        <v>128</v>
      </c>
      <c r="G129" s="1" t="s">
        <v>128</v>
      </c>
      <c r="H129" s="1" t="s">
        <v>94</v>
      </c>
      <c r="I129" s="1" t="s">
        <v>94</v>
      </c>
      <c r="J129" s="1" t="s">
        <v>94</v>
      </c>
      <c r="K129" s="1" t="s">
        <v>51</v>
      </c>
      <c r="L129" s="1" t="s">
        <v>51</v>
      </c>
    </row>
    <row r="130" spans="1:12">
      <c r="A130" s="1" t="s">
        <v>94</v>
      </c>
      <c r="B130" s="1" t="s">
        <v>90</v>
      </c>
      <c r="C130" s="1" t="s">
        <v>97</v>
      </c>
      <c r="D130" s="1" t="s">
        <v>99</v>
      </c>
      <c r="E130" s="1" t="s">
        <v>114</v>
      </c>
      <c r="F130" s="1" t="s">
        <v>119</v>
      </c>
      <c r="G130" s="1" t="s">
        <v>65</v>
      </c>
      <c r="H130" s="1" t="s">
        <v>128</v>
      </c>
      <c r="I130" s="1" t="s">
        <v>126</v>
      </c>
      <c r="J130" s="1" t="s">
        <v>126</v>
      </c>
      <c r="K130" s="1" t="s">
        <v>126</v>
      </c>
      <c r="L130" s="1" t="s">
        <v>126</v>
      </c>
    </row>
    <row r="131" spans="1:12">
      <c r="A131" s="1" t="s">
        <v>95</v>
      </c>
      <c r="B131" s="1" t="s">
        <v>19</v>
      </c>
      <c r="C131" s="1" t="s">
        <v>99</v>
      </c>
      <c r="D131" s="1" t="s">
        <v>94</v>
      </c>
      <c r="E131" s="1" t="s">
        <v>99</v>
      </c>
      <c r="F131" s="1" t="s">
        <v>114</v>
      </c>
      <c r="G131" s="1" t="s">
        <v>99</v>
      </c>
      <c r="H131" s="1" t="s">
        <v>99</v>
      </c>
      <c r="I131" s="1" t="s">
        <v>35</v>
      </c>
      <c r="J131" s="1" t="s">
        <v>99</v>
      </c>
      <c r="K131" s="1" t="s">
        <v>99</v>
      </c>
      <c r="L131" s="1" t="s">
        <v>35</v>
      </c>
    </row>
    <row r="132" spans="1:12">
      <c r="A132" s="1" t="s">
        <v>96</v>
      </c>
      <c r="B132" s="1" t="s">
        <v>111</v>
      </c>
      <c r="C132" s="1" t="s">
        <v>114</v>
      </c>
      <c r="D132" s="1" t="s">
        <v>114</v>
      </c>
      <c r="E132" s="1" t="s">
        <v>91</v>
      </c>
      <c r="F132" s="1" t="s">
        <v>65</v>
      </c>
      <c r="G132" s="1" t="s">
        <v>94</v>
      </c>
      <c r="H132" s="1" t="s">
        <v>65</v>
      </c>
      <c r="I132" s="1" t="s">
        <v>65</v>
      </c>
      <c r="J132" s="1" t="s">
        <v>35</v>
      </c>
      <c r="K132" s="1" t="s">
        <v>35</v>
      </c>
      <c r="L132" s="1" t="s">
        <v>99</v>
      </c>
    </row>
    <row r="133" spans="1:12">
      <c r="A133" s="1" t="s">
        <v>97</v>
      </c>
      <c r="B133" s="1" t="s">
        <v>104</v>
      </c>
      <c r="C133" s="1" t="s">
        <v>120</v>
      </c>
      <c r="D133" s="1" t="s">
        <v>124</v>
      </c>
      <c r="E133" s="1" t="s">
        <v>94</v>
      </c>
      <c r="F133" s="1" t="s">
        <v>99</v>
      </c>
      <c r="G133" s="1" t="s">
        <v>127</v>
      </c>
      <c r="H133" s="1" t="s">
        <v>126</v>
      </c>
      <c r="I133" s="1" t="s">
        <v>18</v>
      </c>
      <c r="J133" s="1" t="s">
        <v>18</v>
      </c>
      <c r="K133" s="1" t="s">
        <v>65</v>
      </c>
      <c r="L133" s="1" t="s">
        <v>65</v>
      </c>
    </row>
    <row r="134" spans="1:12">
      <c r="A134" s="1" t="s">
        <v>98</v>
      </c>
      <c r="B134" s="1" t="s">
        <v>112</v>
      </c>
      <c r="C134" s="1" t="s">
        <v>19</v>
      </c>
      <c r="D134" s="1" t="s">
        <v>107</v>
      </c>
      <c r="E134" s="1" t="s">
        <v>125</v>
      </c>
      <c r="F134" s="1" t="s">
        <v>123</v>
      </c>
      <c r="G134" s="1" t="s">
        <v>126</v>
      </c>
      <c r="H134" s="1" t="s">
        <v>112</v>
      </c>
      <c r="I134" s="1" t="s">
        <v>99</v>
      </c>
      <c r="J134" s="1" t="s">
        <v>109</v>
      </c>
      <c r="K134" s="1" t="s">
        <v>18</v>
      </c>
      <c r="L134" s="1" t="s">
        <v>109</v>
      </c>
    </row>
    <row r="135" spans="1:12">
      <c r="A135" s="1" t="s">
        <v>99</v>
      </c>
      <c r="B135" s="1" t="s">
        <v>113</v>
      </c>
      <c r="C135" s="1" t="s">
        <v>43</v>
      </c>
      <c r="D135" s="1" t="s">
        <v>73</v>
      </c>
      <c r="E135" s="1" t="s">
        <v>65</v>
      </c>
      <c r="F135" s="1" t="s">
        <v>127</v>
      </c>
      <c r="G135" s="1" t="s">
        <v>119</v>
      </c>
      <c r="H135" s="1" t="s">
        <v>35</v>
      </c>
      <c r="I135" s="1" t="s">
        <v>128</v>
      </c>
      <c r="J135" s="1" t="s">
        <v>65</v>
      </c>
      <c r="K135" s="1" t="s">
        <v>109</v>
      </c>
      <c r="L135" s="1" t="s">
        <v>18</v>
      </c>
    </row>
    <row r="136" spans="1:12">
      <c r="A136" s="1" t="s">
        <v>100</v>
      </c>
      <c r="B136" s="1" t="s">
        <v>78</v>
      </c>
      <c r="C136" s="1" t="s">
        <v>121</v>
      </c>
      <c r="D136" s="1" t="s">
        <v>92</v>
      </c>
      <c r="E136" s="1" t="s">
        <v>126</v>
      </c>
      <c r="F136" s="1" t="s">
        <v>125</v>
      </c>
      <c r="G136" s="1" t="s">
        <v>35</v>
      </c>
      <c r="H136" s="1" t="s">
        <v>129</v>
      </c>
      <c r="I136" s="1" t="s">
        <v>112</v>
      </c>
      <c r="J136" s="1" t="s">
        <v>112</v>
      </c>
      <c r="K136" s="1" t="s">
        <v>58</v>
      </c>
      <c r="L136" s="1" t="s">
        <v>105</v>
      </c>
    </row>
    <row r="137" spans="1:12">
      <c r="A137" s="1" t="s">
        <v>101</v>
      </c>
      <c r="B137" s="1" t="s">
        <v>58</v>
      </c>
      <c r="C137" s="1" t="s">
        <v>90</v>
      </c>
      <c r="D137" s="1" t="s">
        <v>111</v>
      </c>
      <c r="E137" s="1" t="s">
        <v>127</v>
      </c>
      <c r="F137" s="1" t="s">
        <v>35</v>
      </c>
      <c r="G137" s="1" t="s">
        <v>114</v>
      </c>
      <c r="H137" s="1" t="s">
        <v>127</v>
      </c>
      <c r="I137" s="1" t="s">
        <v>109</v>
      </c>
      <c r="J137" s="1" t="s">
        <v>128</v>
      </c>
      <c r="K137" s="1" t="s">
        <v>112</v>
      </c>
      <c r="L137" s="1" t="s">
        <v>58</v>
      </c>
    </row>
    <row r="138" spans="1:12">
      <c r="A138" s="1" t="s">
        <v>102</v>
      </c>
      <c r="B138" s="1" t="s">
        <v>51</v>
      </c>
      <c r="C138" s="1" t="s">
        <v>92</v>
      </c>
      <c r="D138" s="1" t="s">
        <v>51</v>
      </c>
      <c r="E138" s="1" t="s">
        <v>31</v>
      </c>
      <c r="F138" s="1" t="s">
        <v>112</v>
      </c>
      <c r="G138" s="1" t="s">
        <v>58</v>
      </c>
      <c r="H138" s="1" t="s">
        <v>131</v>
      </c>
      <c r="I138" s="1" t="s">
        <v>117</v>
      </c>
      <c r="J138" s="1" t="s">
        <v>58</v>
      </c>
      <c r="K138" s="1" t="s">
        <v>128</v>
      </c>
      <c r="L138" s="1" t="s">
        <v>112</v>
      </c>
    </row>
    <row r="139" spans="1:12">
      <c r="A139" s="1" t="s">
        <v>103</v>
      </c>
      <c r="B139" s="1" t="s">
        <v>115</v>
      </c>
      <c r="C139" s="1" t="s">
        <v>31</v>
      </c>
      <c r="D139" s="1" t="s">
        <v>43</v>
      </c>
      <c r="E139" s="1" t="s">
        <v>124</v>
      </c>
      <c r="F139" s="1" t="s">
        <v>126</v>
      </c>
      <c r="G139" s="1" t="s">
        <v>112</v>
      </c>
      <c r="H139" s="1" t="s">
        <v>119</v>
      </c>
      <c r="I139" s="1" t="s">
        <v>58</v>
      </c>
      <c r="J139" s="1" t="s">
        <v>117</v>
      </c>
      <c r="K139" s="1" t="s">
        <v>117</v>
      </c>
      <c r="L139" s="1" t="s">
        <v>128</v>
      </c>
    </row>
    <row r="140" spans="1:12">
      <c r="A140" s="1" t="s">
        <v>104</v>
      </c>
      <c r="B140" s="1" t="s">
        <v>108</v>
      </c>
      <c r="C140" s="1" t="s">
        <v>113</v>
      </c>
      <c r="D140" s="1" t="s">
        <v>97</v>
      </c>
      <c r="E140" s="1" t="s">
        <v>111</v>
      </c>
      <c r="F140" s="1" t="s">
        <v>91</v>
      </c>
      <c r="G140" s="1" t="s">
        <v>77</v>
      </c>
      <c r="H140" s="1" t="s">
        <v>58</v>
      </c>
      <c r="I140" s="1" t="s">
        <v>127</v>
      </c>
      <c r="J140" s="1" t="s">
        <v>133</v>
      </c>
      <c r="K140" s="1" t="s">
        <v>135</v>
      </c>
      <c r="L140" s="1" t="s">
        <v>135</v>
      </c>
    </row>
    <row r="141" spans="1:12">
      <c r="A141" s="1" t="s">
        <v>105</v>
      </c>
      <c r="B141" s="1" t="s">
        <v>117</v>
      </c>
      <c r="C141" s="1" t="s">
        <v>117</v>
      </c>
      <c r="D141" s="1" t="s">
        <v>115</v>
      </c>
      <c r="E141" s="1" t="s">
        <v>120</v>
      </c>
      <c r="F141" s="1" t="s">
        <v>117</v>
      </c>
      <c r="G141" s="1" t="s">
        <v>129</v>
      </c>
      <c r="H141" s="1" t="s">
        <v>117</v>
      </c>
      <c r="I141" s="1" t="s">
        <v>129</v>
      </c>
      <c r="J141" s="1" t="s">
        <v>105</v>
      </c>
      <c r="K141" s="1" t="s">
        <v>105</v>
      </c>
      <c r="L141" s="1" t="s">
        <v>137</v>
      </c>
    </row>
    <row r="142" spans="1:12">
      <c r="A142" s="1" t="s">
        <v>106</v>
      </c>
      <c r="B142" s="1" t="s">
        <v>116</v>
      </c>
      <c r="C142" s="1" t="s">
        <v>122</v>
      </c>
      <c r="D142" s="1" t="s">
        <v>120</v>
      </c>
      <c r="E142" s="1" t="s">
        <v>107</v>
      </c>
      <c r="F142" s="1" t="s">
        <v>94</v>
      </c>
      <c r="G142" s="1" t="s">
        <v>123</v>
      </c>
      <c r="H142" s="1" t="s">
        <v>109</v>
      </c>
      <c r="I142" s="1" t="s">
        <v>132</v>
      </c>
      <c r="J142" s="1" t="s">
        <v>134</v>
      </c>
      <c r="K142" s="1" t="s">
        <v>133</v>
      </c>
      <c r="L142" s="1" t="s">
        <v>117</v>
      </c>
    </row>
    <row r="143" spans="1:12">
      <c r="A143" s="1" t="s">
        <v>107</v>
      </c>
      <c r="B143" s="1" t="s">
        <v>105</v>
      </c>
      <c r="C143" s="1" t="s">
        <v>51</v>
      </c>
      <c r="D143" s="1" t="s">
        <v>77</v>
      </c>
      <c r="E143" s="1" t="s">
        <v>112</v>
      </c>
      <c r="F143" s="1" t="s">
        <v>129</v>
      </c>
      <c r="G143" s="1" t="s">
        <v>130</v>
      </c>
      <c r="H143" s="1" t="s">
        <v>114</v>
      </c>
      <c r="I143" s="1" t="s">
        <v>133</v>
      </c>
      <c r="J143" s="1" t="s">
        <v>129</v>
      </c>
      <c r="K143" s="1" t="s">
        <v>136</v>
      </c>
      <c r="L143" s="1" t="s">
        <v>134</v>
      </c>
    </row>
    <row r="145" spans="1:12">
      <c r="A145" s="1">
        <v>2017</v>
      </c>
    </row>
    <row r="146" spans="1:12">
      <c r="A146" s="1" t="s">
        <v>0</v>
      </c>
      <c r="B146" s="1" t="s">
        <v>1</v>
      </c>
      <c r="C146" s="1" t="s">
        <v>2</v>
      </c>
      <c r="D146" s="1" t="s">
        <v>3</v>
      </c>
      <c r="E146" s="1" t="s">
        <v>4</v>
      </c>
      <c r="F146" s="1" t="s">
        <v>5</v>
      </c>
      <c r="G146" s="1" t="s">
        <v>6</v>
      </c>
      <c r="H146" s="1" t="s">
        <v>7</v>
      </c>
      <c r="I146" s="1" t="s">
        <v>8</v>
      </c>
      <c r="J146" s="1" t="s">
        <v>9</v>
      </c>
      <c r="K146" s="1" t="s">
        <v>10</v>
      </c>
      <c r="L146" s="1" t="s">
        <v>11</v>
      </c>
    </row>
    <row r="147" spans="1:12">
      <c r="A147" s="1" t="s">
        <v>17</v>
      </c>
      <c r="B147" s="1" t="s">
        <v>17</v>
      </c>
      <c r="C147" s="1" t="s">
        <v>17</v>
      </c>
      <c r="D147" s="1" t="s">
        <v>18</v>
      </c>
      <c r="E147" s="1" t="s">
        <v>18</v>
      </c>
      <c r="F147" s="1" t="s">
        <v>18</v>
      </c>
      <c r="G147" s="1" t="s">
        <v>18</v>
      </c>
      <c r="H147" s="1" t="s">
        <v>18</v>
      </c>
      <c r="I147" s="1" t="s">
        <v>18</v>
      </c>
      <c r="J147" s="1" t="s">
        <v>18</v>
      </c>
      <c r="K147" s="1" t="s">
        <v>19</v>
      </c>
      <c r="L147" s="1" t="s">
        <v>19</v>
      </c>
    </row>
    <row r="148" spans="1:12">
      <c r="A148" s="1" t="s">
        <v>20</v>
      </c>
      <c r="B148" s="1" t="s">
        <v>20</v>
      </c>
      <c r="C148" s="1" t="s">
        <v>20</v>
      </c>
      <c r="D148" s="1" t="s">
        <v>21</v>
      </c>
      <c r="E148" s="1" t="s">
        <v>21</v>
      </c>
      <c r="F148" s="1" t="s">
        <v>22</v>
      </c>
      <c r="G148" s="1" t="s">
        <v>23</v>
      </c>
      <c r="H148" s="1" t="s">
        <v>22</v>
      </c>
      <c r="I148" s="1" t="s">
        <v>24</v>
      </c>
      <c r="J148" s="1" t="s">
        <v>19</v>
      </c>
      <c r="K148" s="1" t="s">
        <v>18</v>
      </c>
      <c r="L148" s="1" t="s">
        <v>23</v>
      </c>
    </row>
    <row r="149" spans="1:12">
      <c r="A149" s="1" t="s">
        <v>25</v>
      </c>
      <c r="B149" s="1" t="s">
        <v>26</v>
      </c>
      <c r="C149" s="1" t="s">
        <v>26</v>
      </c>
      <c r="D149" s="1" t="s">
        <v>23</v>
      </c>
      <c r="E149" s="1" t="s">
        <v>27</v>
      </c>
      <c r="F149" s="1" t="s">
        <v>21</v>
      </c>
      <c r="G149" s="1" t="s">
        <v>22</v>
      </c>
      <c r="H149" s="1" t="s">
        <v>23</v>
      </c>
      <c r="I149" s="1" t="s">
        <v>22</v>
      </c>
      <c r="J149" s="1" t="s">
        <v>24</v>
      </c>
      <c r="K149" s="1" t="s">
        <v>23</v>
      </c>
      <c r="L149" s="1" t="s">
        <v>18</v>
      </c>
    </row>
    <row r="150" spans="1:12">
      <c r="A150" s="1" t="s">
        <v>28</v>
      </c>
      <c r="B150" s="1" t="s">
        <v>29</v>
      </c>
      <c r="C150" s="1" t="s">
        <v>30</v>
      </c>
      <c r="D150" s="1" t="s">
        <v>31</v>
      </c>
      <c r="E150" s="1" t="s">
        <v>32</v>
      </c>
      <c r="F150" s="1" t="s">
        <v>24</v>
      </c>
      <c r="G150" s="1" t="s">
        <v>21</v>
      </c>
      <c r="H150" s="1" t="s">
        <v>24</v>
      </c>
      <c r="I150" s="1" t="s">
        <v>23</v>
      </c>
      <c r="J150" s="1" t="s">
        <v>22</v>
      </c>
      <c r="K150" s="1" t="s">
        <v>24</v>
      </c>
      <c r="L150" s="1" t="s">
        <v>22</v>
      </c>
    </row>
    <row r="151" spans="1:12">
      <c r="A151" s="1" t="s">
        <v>33</v>
      </c>
      <c r="B151" s="1" t="s">
        <v>23</v>
      </c>
      <c r="C151" s="1" t="s">
        <v>23</v>
      </c>
      <c r="D151" s="1" t="s">
        <v>17</v>
      </c>
      <c r="E151" s="1" t="s">
        <v>34</v>
      </c>
      <c r="F151" s="1" t="s">
        <v>23</v>
      </c>
      <c r="G151" s="1" t="s">
        <v>24</v>
      </c>
      <c r="H151" s="1" t="s">
        <v>19</v>
      </c>
      <c r="I151" s="1" t="s">
        <v>19</v>
      </c>
      <c r="J151" s="1" t="s">
        <v>23</v>
      </c>
      <c r="K151" s="1" t="s">
        <v>22</v>
      </c>
      <c r="L151" s="1" t="s">
        <v>35</v>
      </c>
    </row>
    <row r="152" spans="1:12">
      <c r="A152" s="1" t="s">
        <v>36</v>
      </c>
      <c r="B152" s="1" t="s">
        <v>37</v>
      </c>
      <c r="C152" s="1" t="s">
        <v>38</v>
      </c>
      <c r="D152" s="1" t="s">
        <v>30</v>
      </c>
      <c r="E152" s="1" t="s">
        <v>23</v>
      </c>
      <c r="F152" s="1" t="s">
        <v>31</v>
      </c>
      <c r="G152" s="1" t="s">
        <v>31</v>
      </c>
      <c r="H152" s="1" t="s">
        <v>21</v>
      </c>
      <c r="I152" s="1" t="s">
        <v>35</v>
      </c>
      <c r="J152" s="1" t="s">
        <v>35</v>
      </c>
      <c r="K152" s="1" t="s">
        <v>35</v>
      </c>
      <c r="L152" s="1" t="s">
        <v>24</v>
      </c>
    </row>
    <row r="153" spans="1:12">
      <c r="A153" s="1" t="s">
        <v>39</v>
      </c>
      <c r="B153" s="1" t="s">
        <v>40</v>
      </c>
      <c r="C153" s="1" t="s">
        <v>41</v>
      </c>
      <c r="D153" s="1" t="s">
        <v>42</v>
      </c>
      <c r="E153" s="1" t="s">
        <v>31</v>
      </c>
      <c r="F153" s="1" t="s">
        <v>32</v>
      </c>
      <c r="G153" s="1" t="s">
        <v>34</v>
      </c>
      <c r="H153" s="1" t="s">
        <v>31</v>
      </c>
      <c r="I153" s="1" t="s">
        <v>21</v>
      </c>
      <c r="J153" s="1" t="s">
        <v>43</v>
      </c>
      <c r="K153" s="1" t="s">
        <v>43</v>
      </c>
      <c r="L153" s="1" t="s">
        <v>43</v>
      </c>
    </row>
    <row r="154" spans="1:12">
      <c r="A154" s="1" t="s">
        <v>44</v>
      </c>
      <c r="B154" s="1" t="s">
        <v>45</v>
      </c>
      <c r="C154" s="1" t="s">
        <v>37</v>
      </c>
      <c r="D154" s="1" t="s">
        <v>34</v>
      </c>
      <c r="E154" s="1" t="s">
        <v>22</v>
      </c>
      <c r="F154" s="1" t="s">
        <v>34</v>
      </c>
      <c r="G154" s="1" t="s">
        <v>43</v>
      </c>
      <c r="H154" s="1" t="s">
        <v>43</v>
      </c>
      <c r="I154" s="1" t="s">
        <v>31</v>
      </c>
      <c r="J154" s="1" t="s">
        <v>31</v>
      </c>
      <c r="K154" s="1" t="s">
        <v>46</v>
      </c>
      <c r="L154" s="1" t="s">
        <v>31</v>
      </c>
    </row>
    <row r="155" spans="1:12">
      <c r="A155" s="1" t="s">
        <v>47</v>
      </c>
      <c r="B155" s="1" t="s">
        <v>48</v>
      </c>
      <c r="C155" s="1" t="s">
        <v>31</v>
      </c>
      <c r="D155" s="1" t="s">
        <v>32</v>
      </c>
      <c r="E155" s="1" t="s">
        <v>19</v>
      </c>
      <c r="F155" s="1" t="s">
        <v>27</v>
      </c>
      <c r="G155" s="1" t="s">
        <v>49</v>
      </c>
      <c r="H155" s="1" t="s">
        <v>49</v>
      </c>
      <c r="I155" s="1" t="s">
        <v>43</v>
      </c>
      <c r="J155" s="1" t="s">
        <v>46</v>
      </c>
      <c r="K155" s="1" t="s">
        <v>31</v>
      </c>
      <c r="L155" s="1" t="s">
        <v>46</v>
      </c>
    </row>
    <row r="156" spans="1:12">
      <c r="A156" s="1" t="s">
        <v>26</v>
      </c>
      <c r="B156" s="1" t="s">
        <v>25</v>
      </c>
      <c r="C156" s="1" t="s">
        <v>34</v>
      </c>
      <c r="D156" s="1" t="s">
        <v>41</v>
      </c>
      <c r="E156" s="1" t="s">
        <v>24</v>
      </c>
      <c r="F156" s="1" t="s">
        <v>49</v>
      </c>
      <c r="G156" s="1" t="s">
        <v>50</v>
      </c>
      <c r="H156" s="1" t="s">
        <v>34</v>
      </c>
      <c r="I156" s="1" t="s">
        <v>49</v>
      </c>
      <c r="J156" s="1" t="s">
        <v>34</v>
      </c>
      <c r="K156" s="1" t="s">
        <v>51</v>
      </c>
      <c r="L156" s="1" t="s">
        <v>51</v>
      </c>
    </row>
    <row r="157" spans="1:12">
      <c r="A157" s="1" t="s">
        <v>52</v>
      </c>
      <c r="B157" s="1" t="s">
        <v>30</v>
      </c>
      <c r="C157" s="1" t="s">
        <v>53</v>
      </c>
      <c r="D157" s="1" t="s">
        <v>20</v>
      </c>
      <c r="E157" s="1" t="s">
        <v>54</v>
      </c>
      <c r="F157" s="1" t="s">
        <v>50</v>
      </c>
      <c r="G157" s="1" t="s">
        <v>19</v>
      </c>
      <c r="H157" s="1" t="s">
        <v>35</v>
      </c>
      <c r="I157" s="1" t="s">
        <v>34</v>
      </c>
      <c r="J157" s="1" t="s">
        <v>21</v>
      </c>
      <c r="K157" s="1" t="s">
        <v>55</v>
      </c>
      <c r="L157" s="1" t="s">
        <v>55</v>
      </c>
    </row>
    <row r="158" spans="1:12">
      <c r="A158" s="1" t="s">
        <v>56</v>
      </c>
      <c r="B158" s="1" t="s">
        <v>31</v>
      </c>
      <c r="C158" s="1" t="s">
        <v>19</v>
      </c>
      <c r="D158" s="1" t="s">
        <v>19</v>
      </c>
      <c r="E158" s="1" t="s">
        <v>42</v>
      </c>
      <c r="F158" s="1" t="s">
        <v>28</v>
      </c>
      <c r="G158" s="1" t="s">
        <v>32</v>
      </c>
      <c r="H158" s="1" t="s">
        <v>50</v>
      </c>
      <c r="I158" s="1" t="s">
        <v>57</v>
      </c>
      <c r="J158" s="1" t="s">
        <v>51</v>
      </c>
      <c r="K158" s="1" t="s">
        <v>34</v>
      </c>
      <c r="L158" s="1" t="s">
        <v>34</v>
      </c>
    </row>
    <row r="159" spans="1:12">
      <c r="A159" s="1" t="s">
        <v>58</v>
      </c>
      <c r="B159" s="1" t="s">
        <v>59</v>
      </c>
      <c r="C159" s="1" t="s">
        <v>60</v>
      </c>
      <c r="D159" s="1" t="s">
        <v>28</v>
      </c>
      <c r="E159" s="1" t="s">
        <v>50</v>
      </c>
      <c r="F159" s="1" t="s">
        <v>19</v>
      </c>
      <c r="G159" s="1" t="s">
        <v>27</v>
      </c>
      <c r="H159" s="1" t="s">
        <v>57</v>
      </c>
      <c r="I159" s="1" t="s">
        <v>46</v>
      </c>
      <c r="J159" s="1" t="s">
        <v>49</v>
      </c>
      <c r="K159" s="1" t="s">
        <v>21</v>
      </c>
      <c r="L159" s="1" t="s">
        <v>61</v>
      </c>
    </row>
    <row r="160" spans="1:12">
      <c r="A160" s="1" t="s">
        <v>62</v>
      </c>
      <c r="B160" s="1" t="s">
        <v>63</v>
      </c>
      <c r="C160" s="1" t="s">
        <v>64</v>
      </c>
      <c r="D160" s="1" t="s">
        <v>38</v>
      </c>
      <c r="E160" s="1" t="s">
        <v>28</v>
      </c>
      <c r="F160" s="1" t="s">
        <v>65</v>
      </c>
      <c r="G160" s="1" t="s">
        <v>65</v>
      </c>
      <c r="H160" s="1" t="s">
        <v>27</v>
      </c>
      <c r="I160" s="1" t="s">
        <v>66</v>
      </c>
      <c r="J160" s="1" t="s">
        <v>57</v>
      </c>
      <c r="K160" s="1" t="s">
        <v>49</v>
      </c>
      <c r="L160" s="1" t="s">
        <v>21</v>
      </c>
    </row>
    <row r="161" spans="1:12">
      <c r="A161" s="1" t="s">
        <v>67</v>
      </c>
      <c r="B161" s="1" t="s">
        <v>68</v>
      </c>
      <c r="C161" s="1" t="s">
        <v>42</v>
      </c>
      <c r="D161" s="1" t="s">
        <v>26</v>
      </c>
      <c r="E161" s="1" t="s">
        <v>60</v>
      </c>
      <c r="F161" s="1" t="s">
        <v>35</v>
      </c>
      <c r="G161" s="1" t="s">
        <v>35</v>
      </c>
      <c r="H161" s="1" t="s">
        <v>69</v>
      </c>
      <c r="I161" s="1" t="s">
        <v>50</v>
      </c>
      <c r="J161" s="1" t="s">
        <v>55</v>
      </c>
      <c r="K161" s="1" t="s">
        <v>70</v>
      </c>
      <c r="L161" s="1" t="s">
        <v>49</v>
      </c>
    </row>
    <row r="162" spans="1:12">
      <c r="A162" s="1" t="s">
        <v>71</v>
      </c>
      <c r="B162" s="1" t="s">
        <v>52</v>
      </c>
      <c r="C162" s="1" t="s">
        <v>72</v>
      </c>
      <c r="D162" s="1" t="s">
        <v>73</v>
      </c>
      <c r="E162" s="1" t="s">
        <v>65</v>
      </c>
      <c r="F162" s="1" t="s">
        <v>74</v>
      </c>
      <c r="G162" s="1" t="s">
        <v>66</v>
      </c>
      <c r="H162" s="1" t="s">
        <v>66</v>
      </c>
      <c r="I162" s="1" t="s">
        <v>75</v>
      </c>
      <c r="J162" s="1" t="s">
        <v>75</v>
      </c>
      <c r="K162" s="1" t="s">
        <v>76</v>
      </c>
      <c r="L162" s="1" t="s">
        <v>77</v>
      </c>
    </row>
    <row r="163" spans="1:12">
      <c r="A163" s="1" t="s">
        <v>78</v>
      </c>
      <c r="B163" s="1" t="s">
        <v>79</v>
      </c>
      <c r="C163" s="1" t="s">
        <v>80</v>
      </c>
      <c r="D163" s="1" t="s">
        <v>81</v>
      </c>
      <c r="E163" s="1" t="s">
        <v>17</v>
      </c>
      <c r="F163" s="1" t="s">
        <v>43</v>
      </c>
      <c r="G163" s="1" t="s">
        <v>74</v>
      </c>
      <c r="H163" s="1" t="s">
        <v>65</v>
      </c>
      <c r="I163" s="1" t="s">
        <v>51</v>
      </c>
      <c r="J163" s="1" t="s">
        <v>70</v>
      </c>
      <c r="K163" s="1" t="s">
        <v>57</v>
      </c>
      <c r="L163" s="1" t="s">
        <v>70</v>
      </c>
    </row>
    <row r="164" spans="1:12">
      <c r="A164" s="1" t="s">
        <v>82</v>
      </c>
      <c r="B164" s="1" t="s">
        <v>53</v>
      </c>
      <c r="C164" s="1" t="s">
        <v>29</v>
      </c>
      <c r="D164" s="1" t="s">
        <v>54</v>
      </c>
      <c r="E164" s="1" t="s">
        <v>58</v>
      </c>
      <c r="F164" s="1" t="s">
        <v>42</v>
      </c>
      <c r="G164" s="1" t="s">
        <v>28</v>
      </c>
      <c r="H164" s="1" t="s">
        <v>32</v>
      </c>
      <c r="I164" s="1" t="s">
        <v>65</v>
      </c>
      <c r="J164" s="1" t="s">
        <v>83</v>
      </c>
      <c r="K164" s="1" t="s">
        <v>75</v>
      </c>
      <c r="L164" s="1" t="s">
        <v>76</v>
      </c>
    </row>
    <row r="165" spans="1:12">
      <c r="A165" s="1" t="s">
        <v>84</v>
      </c>
      <c r="B165" s="1" t="s">
        <v>85</v>
      </c>
      <c r="C165" s="1" t="s">
        <v>86</v>
      </c>
      <c r="D165" s="1" t="s">
        <v>80</v>
      </c>
      <c r="E165" s="1" t="s">
        <v>87</v>
      </c>
      <c r="F165" s="1" t="s">
        <v>60</v>
      </c>
      <c r="G165" s="1" t="s">
        <v>69</v>
      </c>
      <c r="H165" s="1" t="s">
        <v>77</v>
      </c>
      <c r="I165" s="1" t="s">
        <v>77</v>
      </c>
      <c r="J165" s="1" t="s">
        <v>66</v>
      </c>
      <c r="K165" s="1" t="s">
        <v>77</v>
      </c>
      <c r="L165" s="1" t="s">
        <v>57</v>
      </c>
    </row>
    <row r="166" spans="1:12">
      <c r="A166" s="1" t="s">
        <v>42</v>
      </c>
      <c r="B166" s="1" t="s">
        <v>33</v>
      </c>
      <c r="C166" s="1" t="s">
        <v>88</v>
      </c>
      <c r="D166" s="1" t="s">
        <v>89</v>
      </c>
      <c r="E166" s="1" t="s">
        <v>30</v>
      </c>
      <c r="F166" s="1" t="s">
        <v>54</v>
      </c>
      <c r="G166" s="1" t="s">
        <v>57</v>
      </c>
      <c r="H166" s="1" t="s">
        <v>51</v>
      </c>
      <c r="I166" s="1" t="s">
        <v>76</v>
      </c>
      <c r="J166" s="1" t="s">
        <v>50</v>
      </c>
      <c r="K166" s="1" t="s">
        <v>83</v>
      </c>
      <c r="L166" s="1" t="s">
        <v>65</v>
      </c>
    </row>
  </sheetData>
  <phoneticPr fontId="16" type="noConversion"/>
  <conditionalFormatting sqref="Q5:AC54 AJ5:AT54 BS5:CB54">
    <cfRule type="cellIs" dxfId="7" priority="13" operator="equal">
      <formula>0</formula>
    </cfRule>
    <cfRule type="cellIs" dxfId="6" priority="14" operator="greaterThan">
      <formula>0</formula>
    </cfRule>
  </conditionalFormatting>
  <conditionalFormatting sqref="BA5:BM54">
    <cfRule type="cellIs" dxfId="5" priority="9" operator="equal">
      <formula>0</formula>
    </cfRule>
    <cfRule type="cellIs" dxfId="4" priority="10" operator="greaterThan">
      <formula>0</formula>
    </cfRule>
  </conditionalFormatting>
  <conditionalFormatting sqref="CI5:CU54">
    <cfRule type="cellIs" dxfId="3" priority="3" operator="equal">
      <formula>0</formula>
    </cfRule>
    <cfRule type="cellIs" dxfId="2" priority="4" operator="greaterThan">
      <formula>0</formula>
    </cfRule>
  </conditionalFormatting>
  <conditionalFormatting sqref="DA5:DJ54">
    <cfRule type="cellIs" dxfId="1" priority="5" operator="equal">
      <formula>0</formula>
    </cfRule>
    <cfRule type="cellIs" dxfId="0" priority="6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Top20 Repeat fault cumula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oss</dc:creator>
  <cp:lastModifiedBy>ASUS</cp:lastModifiedBy>
  <dcterms:created xsi:type="dcterms:W3CDTF">2018-02-23T09:53:56Z</dcterms:created>
  <dcterms:modified xsi:type="dcterms:W3CDTF">2023-07-18T11:37:34Z</dcterms:modified>
</cp:coreProperties>
</file>